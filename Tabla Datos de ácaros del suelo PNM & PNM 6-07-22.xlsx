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G:\Mi unidad\2-UP\TESIS\xp-Tesis - LMendoza\Tablas -TesisLMendoza\"/>
    </mc:Choice>
  </mc:AlternateContent>
  <xr:revisionPtr revIDLastSave="0" documentId="13_ncr:1_{8D10AFD7-2C2A-49D4-B699-F37843450C24}" xr6:coauthVersionLast="47" xr6:coauthVersionMax="47" xr10:uidLastSave="{00000000-0000-0000-0000-000000000000}"/>
  <bookViews>
    <workbookView xWindow="28680" yWindow="-120" windowWidth="29040" windowHeight="15990" tabRatio="803" activeTab="7" xr2:uid="{00000000-000D-0000-FFFF-FFFF00000000}"/>
  </bookViews>
  <sheets>
    <sheet name="Todo" sheetId="1" r:id="rId1"/>
    <sheet name="Trampas-Parque" sheetId="7" r:id="rId2"/>
    <sheet name="Acariformes-Parasitiformes" sheetId="9" r:id="rId3"/>
    <sheet name="Familia-trampa" sheetId="11" r:id="rId4"/>
    <sheet name="Genero-Trampa" sheetId="12" r:id="rId5"/>
    <sheet name="Hoja1" sheetId="24" r:id="rId6"/>
    <sheet name="Familias Mes-Parque" sheetId="21" r:id="rId7"/>
    <sheet name="Generos Mes-Parque" sheetId="16" r:id="rId8"/>
    <sheet name="Hoja2" sheetId="25" r:id="rId9"/>
    <sheet name="Datos ambientales" sheetId="22" r:id="rId10"/>
    <sheet name="Depredador-Presa" sheetId="2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5" l="1"/>
  <c r="J10" i="25"/>
  <c r="J3" i="25"/>
  <c r="J6" i="25"/>
  <c r="J4" i="25"/>
  <c r="J22" i="25"/>
  <c r="J11" i="25"/>
  <c r="J26" i="25"/>
  <c r="J27" i="25"/>
  <c r="J28" i="25"/>
  <c r="J12" i="25"/>
  <c r="J23" i="25"/>
  <c r="J29" i="25"/>
  <c r="J18" i="25"/>
  <c r="J15" i="25"/>
  <c r="J24" i="25"/>
  <c r="J19" i="25"/>
  <c r="J13" i="25"/>
  <c r="J30" i="25"/>
  <c r="J31" i="25"/>
  <c r="J5" i="25"/>
  <c r="J20" i="25"/>
  <c r="J32" i="25"/>
  <c r="J7" i="25"/>
  <c r="J33" i="25"/>
  <c r="J34" i="25"/>
  <c r="J9" i="25"/>
  <c r="J8" i="25"/>
  <c r="J16" i="25"/>
  <c r="J25" i="25"/>
  <c r="J17" i="25"/>
  <c r="J35" i="25"/>
  <c r="J21" i="25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" i="21"/>
  <c r="G55" i="24"/>
  <c r="F55" i="24"/>
  <c r="C55" i="24"/>
  <c r="B55" i="24"/>
  <c r="L54" i="24"/>
  <c r="K54" i="24"/>
  <c r="H54" i="24"/>
  <c r="L13" i="24"/>
  <c r="K13" i="24"/>
  <c r="H13" i="24"/>
  <c r="L38" i="24"/>
  <c r="K38" i="24"/>
  <c r="H38" i="24"/>
  <c r="L53" i="24"/>
  <c r="K53" i="24"/>
  <c r="H53" i="24"/>
  <c r="L52" i="24"/>
  <c r="K52" i="24"/>
  <c r="H52" i="24"/>
  <c r="L22" i="24"/>
  <c r="K22" i="24"/>
  <c r="H22" i="24"/>
  <c r="L51" i="24"/>
  <c r="K51" i="24"/>
  <c r="H51" i="24"/>
  <c r="L25" i="24"/>
  <c r="K25" i="24"/>
  <c r="H25" i="24"/>
  <c r="L12" i="24"/>
  <c r="K12" i="24"/>
  <c r="H12" i="24"/>
  <c r="L15" i="24"/>
  <c r="K15" i="24"/>
  <c r="H15" i="24"/>
  <c r="L50" i="24"/>
  <c r="K50" i="24"/>
  <c r="H50" i="24"/>
  <c r="L31" i="24"/>
  <c r="K31" i="24"/>
  <c r="H31" i="24"/>
  <c r="L49" i="24"/>
  <c r="K49" i="24"/>
  <c r="H49" i="24"/>
  <c r="L48" i="24"/>
  <c r="K48" i="24"/>
  <c r="H48" i="24"/>
  <c r="L30" i="24"/>
  <c r="K30" i="24"/>
  <c r="H30" i="24"/>
  <c r="L4" i="24"/>
  <c r="K4" i="24"/>
  <c r="H4" i="24"/>
  <c r="L7" i="24"/>
  <c r="K7" i="24"/>
  <c r="H7" i="24"/>
  <c r="L24" i="24"/>
  <c r="K24" i="24"/>
  <c r="H24" i="24"/>
  <c r="L37" i="24"/>
  <c r="K37" i="24"/>
  <c r="H37" i="24"/>
  <c r="L36" i="24"/>
  <c r="K36" i="24"/>
  <c r="H36" i="24"/>
  <c r="L9" i="24"/>
  <c r="K9" i="24"/>
  <c r="H9" i="24"/>
  <c r="L47" i="24"/>
  <c r="K47" i="24"/>
  <c r="H47" i="24"/>
  <c r="L46" i="24"/>
  <c r="K46" i="24"/>
  <c r="H46" i="24"/>
  <c r="L35" i="24"/>
  <c r="K35" i="24"/>
  <c r="H35" i="24"/>
  <c r="L21" i="24"/>
  <c r="K21" i="24"/>
  <c r="H21" i="24"/>
  <c r="L6" i="24"/>
  <c r="K6" i="24"/>
  <c r="H6" i="24"/>
  <c r="L2" i="24"/>
  <c r="K2" i="24"/>
  <c r="H2" i="24"/>
  <c r="L45" i="24"/>
  <c r="K45" i="24"/>
  <c r="H45" i="24"/>
  <c r="L26" i="24"/>
  <c r="K26" i="24"/>
  <c r="H26" i="24"/>
  <c r="L34" i="24"/>
  <c r="K34" i="24"/>
  <c r="H34" i="24"/>
  <c r="L33" i="24"/>
  <c r="K33" i="24"/>
  <c r="H33" i="24"/>
  <c r="L32" i="24"/>
  <c r="K32" i="24"/>
  <c r="H32" i="24"/>
  <c r="L14" i="24"/>
  <c r="K14" i="24"/>
  <c r="H14" i="24"/>
  <c r="L20" i="24"/>
  <c r="K20" i="24"/>
  <c r="H20" i="24"/>
  <c r="L19" i="24"/>
  <c r="K19" i="24"/>
  <c r="H19" i="24"/>
  <c r="L29" i="24"/>
  <c r="K29" i="24"/>
  <c r="H29" i="24"/>
  <c r="L44" i="24"/>
  <c r="K44" i="24"/>
  <c r="H44" i="24"/>
  <c r="L17" i="24"/>
  <c r="K17" i="24"/>
  <c r="H17" i="24"/>
  <c r="L3" i="24"/>
  <c r="K3" i="24"/>
  <c r="H3" i="24"/>
  <c r="L18" i="24"/>
  <c r="K18" i="24"/>
  <c r="H18" i="24"/>
  <c r="L8" i="24"/>
  <c r="K8" i="24"/>
  <c r="H8" i="24"/>
  <c r="L23" i="24"/>
  <c r="K23" i="24"/>
  <c r="H23" i="24"/>
  <c r="L43" i="24"/>
  <c r="K43" i="24"/>
  <c r="H43" i="24"/>
  <c r="L42" i="24"/>
  <c r="K42" i="24"/>
  <c r="H42" i="24"/>
  <c r="L5" i="24"/>
  <c r="K5" i="24"/>
  <c r="H5" i="24"/>
  <c r="L27" i="24"/>
  <c r="K27" i="24"/>
  <c r="H27" i="24"/>
  <c r="L41" i="24"/>
  <c r="K41" i="24"/>
  <c r="H41" i="24"/>
  <c r="L28" i="24"/>
  <c r="K28" i="24"/>
  <c r="H28" i="24"/>
  <c r="L40" i="24"/>
  <c r="K40" i="24"/>
  <c r="H40" i="24"/>
  <c r="L16" i="24"/>
  <c r="K16" i="24"/>
  <c r="H16" i="24"/>
  <c r="L39" i="24"/>
  <c r="K39" i="24"/>
  <c r="H39" i="24"/>
  <c r="L10" i="24"/>
  <c r="K10" i="24"/>
  <c r="H10" i="24"/>
  <c r="L11" i="24"/>
  <c r="K11" i="24"/>
  <c r="H11" i="24"/>
  <c r="K55" i="24" l="1"/>
  <c r="L55" i="24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2" i="12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2" i="11"/>
  <c r="Y23" i="9" l="1"/>
  <c r="X23" i="9"/>
  <c r="R62" i="9"/>
  <c r="Q62" i="9"/>
  <c r="G55" i="12" l="1"/>
  <c r="F55" i="12"/>
  <c r="C55" i="12"/>
  <c r="B55" i="12"/>
  <c r="H35" i="11"/>
  <c r="G35" i="11"/>
  <c r="G37" i="11" s="1"/>
  <c r="C35" i="11"/>
  <c r="B35" i="11"/>
  <c r="B37" i="11" s="1"/>
  <c r="K37" i="11" s="1"/>
  <c r="W76" i="7" l="1"/>
  <c r="Q36" i="7"/>
  <c r="K100" i="7"/>
  <c r="E93" i="7"/>
  <c r="X36" i="21" l="1"/>
  <c r="W36" i="21"/>
  <c r="V36" i="21"/>
  <c r="U36" i="21"/>
  <c r="T36" i="21"/>
  <c r="S36" i="21"/>
  <c r="G36" i="21"/>
  <c r="F36" i="21"/>
  <c r="E36" i="21"/>
  <c r="D36" i="21"/>
  <c r="C36" i="21"/>
  <c r="B36" i="21"/>
  <c r="AC57" i="16" l="1"/>
  <c r="AB57" i="16"/>
  <c r="AA57" i="16"/>
  <c r="Z57" i="16"/>
  <c r="Y57" i="16"/>
  <c r="X57" i="16"/>
  <c r="I57" i="16"/>
  <c r="H57" i="16"/>
  <c r="G57" i="16"/>
  <c r="F57" i="16"/>
  <c r="E57" i="16"/>
  <c r="D57" i="16"/>
  <c r="J55" i="16"/>
  <c r="O4" i="21" l="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L4" i="21" l="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AF4" i="21"/>
  <c r="AF5" i="21"/>
  <c r="AF6" i="21"/>
  <c r="AF7" i="21"/>
  <c r="AF8" i="21"/>
  <c r="AF9" i="21"/>
  <c r="AF10" i="21"/>
  <c r="AF11" i="21"/>
  <c r="AF12" i="21"/>
  <c r="AF13" i="21"/>
  <c r="AF14" i="21"/>
  <c r="AF15" i="21"/>
  <c r="AF16" i="21"/>
  <c r="AF17" i="21"/>
  <c r="AF18" i="21"/>
  <c r="AF19" i="21"/>
  <c r="AF20" i="21"/>
  <c r="AF21" i="21"/>
  <c r="AF22" i="21"/>
  <c r="AF23" i="21"/>
  <c r="AF24" i="21"/>
  <c r="AF25" i="21"/>
  <c r="AF26" i="21"/>
  <c r="AF27" i="21"/>
  <c r="AF28" i="21"/>
  <c r="AF29" i="21"/>
  <c r="AF30" i="21"/>
  <c r="AF31" i="21"/>
  <c r="AF32" i="21"/>
  <c r="AF33" i="21"/>
  <c r="AF34" i="21"/>
  <c r="AF35" i="21"/>
  <c r="AE4" i="21"/>
  <c r="AE5" i="21"/>
  <c r="AE6" i="21"/>
  <c r="AE7" i="21"/>
  <c r="AE8" i="21"/>
  <c r="AE9" i="21"/>
  <c r="AE10" i="21"/>
  <c r="AE11" i="21"/>
  <c r="AE12" i="21"/>
  <c r="AE13" i="21"/>
  <c r="AE14" i="21"/>
  <c r="AE15" i="21"/>
  <c r="AE16" i="21"/>
  <c r="AE17" i="21"/>
  <c r="AE18" i="21"/>
  <c r="AE19" i="21"/>
  <c r="AE20" i="21"/>
  <c r="AE21" i="21"/>
  <c r="AE22" i="21"/>
  <c r="AE23" i="21"/>
  <c r="AE24" i="21"/>
  <c r="AE25" i="21"/>
  <c r="AE26" i="21"/>
  <c r="AE27" i="21"/>
  <c r="AE28" i="21"/>
  <c r="AE29" i="21"/>
  <c r="AE30" i="21"/>
  <c r="AE31" i="21"/>
  <c r="AE32" i="21"/>
  <c r="AE33" i="21"/>
  <c r="AE34" i="21"/>
  <c r="AE35" i="21"/>
  <c r="AE3" i="21"/>
  <c r="AD4" i="21"/>
  <c r="AD5" i="21"/>
  <c r="AD6" i="21"/>
  <c r="AD7" i="21"/>
  <c r="AD8" i="21"/>
  <c r="AD9" i="21"/>
  <c r="AD10" i="21"/>
  <c r="AD11" i="21"/>
  <c r="AD12" i="21"/>
  <c r="AD13" i="21"/>
  <c r="AD14" i="21"/>
  <c r="AD15" i="21"/>
  <c r="AD16" i="21"/>
  <c r="AD17" i="21"/>
  <c r="AD18" i="21"/>
  <c r="AD19" i="21"/>
  <c r="AD20" i="21"/>
  <c r="AD21" i="21"/>
  <c r="AD22" i="21"/>
  <c r="AD23" i="21"/>
  <c r="AD24" i="21"/>
  <c r="AD25" i="21"/>
  <c r="AD26" i="21"/>
  <c r="AD27" i="21"/>
  <c r="AD28" i="21"/>
  <c r="AD29" i="21"/>
  <c r="AD30" i="21"/>
  <c r="AD31" i="21"/>
  <c r="AD32" i="21"/>
  <c r="AD33" i="21"/>
  <c r="AD34" i="21"/>
  <c r="AD35" i="21"/>
  <c r="AD3" i="21"/>
  <c r="AA4" i="21"/>
  <c r="AA5" i="21"/>
  <c r="AA6" i="21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B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" i="21"/>
  <c r="AA3" i="21"/>
  <c r="AA36" i="21" l="1"/>
  <c r="Y35" i="21"/>
  <c r="AB36" i="21"/>
  <c r="AD36" i="21"/>
  <c r="H35" i="21" l="1"/>
  <c r="L3" i="16" l="1"/>
  <c r="AK4" i="16"/>
  <c r="AK5" i="16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29" i="16"/>
  <c r="AK30" i="16"/>
  <c r="AK31" i="16"/>
  <c r="AK32" i="16"/>
  <c r="AK33" i="16"/>
  <c r="AK34" i="16"/>
  <c r="AK35" i="16"/>
  <c r="AK36" i="16"/>
  <c r="AK37" i="16"/>
  <c r="AK38" i="16"/>
  <c r="AK39" i="16"/>
  <c r="AK40" i="16"/>
  <c r="AK41" i="16"/>
  <c r="AK42" i="16"/>
  <c r="AK43" i="16"/>
  <c r="AK44" i="16"/>
  <c r="AK45" i="16"/>
  <c r="AK46" i="16"/>
  <c r="AK47" i="16"/>
  <c r="AK48" i="16"/>
  <c r="AK49" i="16"/>
  <c r="AK50" i="16"/>
  <c r="AK51" i="16"/>
  <c r="AK52" i="16"/>
  <c r="AK53" i="16"/>
  <c r="AK54" i="16"/>
  <c r="AK55" i="16"/>
  <c r="AJ4" i="16"/>
  <c r="AJ5" i="16"/>
  <c r="AJ6" i="16"/>
  <c r="AJ7" i="16"/>
  <c r="AJ8" i="16"/>
  <c r="AJ9" i="16"/>
  <c r="AJ10" i="16"/>
  <c r="AJ11" i="16"/>
  <c r="AJ12" i="16"/>
  <c r="AJ13" i="16"/>
  <c r="AJ14" i="16"/>
  <c r="AJ15" i="16"/>
  <c r="AJ16" i="16"/>
  <c r="AJ17" i="16"/>
  <c r="AJ18" i="16"/>
  <c r="AJ19" i="16"/>
  <c r="AJ20" i="16"/>
  <c r="AJ21" i="16"/>
  <c r="AJ22" i="16"/>
  <c r="AJ23" i="16"/>
  <c r="AJ24" i="16"/>
  <c r="AJ25" i="16"/>
  <c r="AJ26" i="16"/>
  <c r="AJ27" i="16"/>
  <c r="AJ28" i="16"/>
  <c r="AJ29" i="16"/>
  <c r="AJ30" i="16"/>
  <c r="AJ31" i="16"/>
  <c r="AJ32" i="16"/>
  <c r="AJ33" i="16"/>
  <c r="AJ34" i="16"/>
  <c r="AJ35" i="16"/>
  <c r="AJ36" i="16"/>
  <c r="AJ37" i="16"/>
  <c r="AJ38" i="16"/>
  <c r="AJ39" i="16"/>
  <c r="AJ40" i="16"/>
  <c r="AJ41" i="16"/>
  <c r="AJ42" i="16"/>
  <c r="AJ43" i="16"/>
  <c r="AJ44" i="16"/>
  <c r="AJ45" i="16"/>
  <c r="AJ46" i="16"/>
  <c r="AJ47" i="16"/>
  <c r="AJ48" i="16"/>
  <c r="AJ49" i="16"/>
  <c r="AJ50" i="16"/>
  <c r="AJ51" i="16"/>
  <c r="AJ52" i="16"/>
  <c r="AJ53" i="16"/>
  <c r="AJ54" i="16"/>
  <c r="AJ55" i="16"/>
  <c r="AI4" i="16"/>
  <c r="AI5" i="16"/>
  <c r="AI6" i="16"/>
  <c r="AI7" i="16"/>
  <c r="AI8" i="16"/>
  <c r="AI9" i="16"/>
  <c r="AI10" i="16"/>
  <c r="AI11" i="16"/>
  <c r="AI12" i="16"/>
  <c r="AI13" i="16"/>
  <c r="AI14" i="16"/>
  <c r="AI15" i="16"/>
  <c r="AI16" i="16"/>
  <c r="AI17" i="16"/>
  <c r="AI18" i="16"/>
  <c r="AI19" i="16"/>
  <c r="AI20" i="16"/>
  <c r="AI21" i="16"/>
  <c r="AI22" i="16"/>
  <c r="AI23" i="16"/>
  <c r="AI24" i="16"/>
  <c r="AI25" i="16"/>
  <c r="AI26" i="16"/>
  <c r="AI27" i="16"/>
  <c r="AI28" i="16"/>
  <c r="AI29" i="16"/>
  <c r="AI30" i="16"/>
  <c r="AI31" i="16"/>
  <c r="AI32" i="16"/>
  <c r="AI33" i="16"/>
  <c r="AI34" i="16"/>
  <c r="AI35" i="16"/>
  <c r="AI36" i="16"/>
  <c r="AI37" i="16"/>
  <c r="AI38" i="16"/>
  <c r="AI39" i="16"/>
  <c r="AI40" i="16"/>
  <c r="AI41" i="16"/>
  <c r="AI42" i="16"/>
  <c r="AI43" i="16"/>
  <c r="AI44" i="16"/>
  <c r="AI45" i="16"/>
  <c r="AI46" i="16"/>
  <c r="AI47" i="16"/>
  <c r="AI48" i="16"/>
  <c r="AI49" i="16"/>
  <c r="AI50" i="16"/>
  <c r="AI51" i="16"/>
  <c r="AI52" i="16"/>
  <c r="AI53" i="16"/>
  <c r="AI54" i="16"/>
  <c r="AI55" i="16"/>
  <c r="AK3" i="16"/>
  <c r="AJ3" i="16"/>
  <c r="AI3" i="16"/>
  <c r="AG4" i="16"/>
  <c r="AG5" i="16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3" i="16"/>
  <c r="Q4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3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3" i="16"/>
  <c r="O3" i="16"/>
  <c r="O56" i="16" s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3" i="16"/>
  <c r="AI56" i="16" l="1"/>
  <c r="P56" i="16"/>
  <c r="AJ56" i="16"/>
  <c r="AK56" i="16"/>
  <c r="Q56" i="16"/>
  <c r="M56" i="16"/>
  <c r="AG56" i="16"/>
  <c r="J27" i="16"/>
  <c r="I57" i="12" l="1"/>
  <c r="I56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L55" i="12"/>
  <c r="K55" i="12"/>
  <c r="I9" i="9" l="1"/>
  <c r="H9" i="9"/>
  <c r="D9" i="9"/>
  <c r="C9" i="9"/>
  <c r="H3" i="21" l="1"/>
  <c r="J3" i="21"/>
  <c r="J36" i="21" s="1"/>
  <c r="K3" i="21"/>
  <c r="K36" i="21" s="1"/>
  <c r="L3" i="21"/>
  <c r="L36" i="21" s="1"/>
  <c r="N3" i="21"/>
  <c r="N36" i="21" s="1"/>
  <c r="O3" i="21"/>
  <c r="O36" i="21" s="1"/>
  <c r="Y3" i="21"/>
  <c r="AF3" i="21"/>
  <c r="AF36" i="21" s="1"/>
  <c r="H4" i="21"/>
  <c r="Y4" i="21"/>
  <c r="H5" i="21"/>
  <c r="Y5" i="21"/>
  <c r="H6" i="21"/>
  <c r="Y6" i="21"/>
  <c r="H7" i="21"/>
  <c r="Y7" i="21"/>
  <c r="H8" i="21"/>
  <c r="Y8" i="21"/>
  <c r="H9" i="21"/>
  <c r="Y9" i="21"/>
  <c r="H10" i="21"/>
  <c r="Y10" i="21"/>
  <c r="H11" i="21"/>
  <c r="Y11" i="21"/>
  <c r="H12" i="21"/>
  <c r="Y12" i="21"/>
  <c r="H13" i="21"/>
  <c r="Y13" i="21"/>
  <c r="H14" i="21"/>
  <c r="Y14" i="21"/>
  <c r="H15" i="21"/>
  <c r="Y15" i="21"/>
  <c r="H16" i="21"/>
  <c r="Y16" i="21"/>
  <c r="H17" i="21"/>
  <c r="Y17" i="21"/>
  <c r="H18" i="21"/>
  <c r="Y18" i="21"/>
  <c r="AE36" i="21"/>
  <c r="H19" i="21"/>
  <c r="Y19" i="21"/>
  <c r="H20" i="21"/>
  <c r="Y20" i="21"/>
  <c r="H21" i="21"/>
  <c r="Y21" i="21"/>
  <c r="H22" i="21"/>
  <c r="Y22" i="21"/>
  <c r="H23" i="21"/>
  <c r="Y23" i="21"/>
  <c r="H24" i="21"/>
  <c r="Y24" i="21"/>
  <c r="H25" i="21"/>
  <c r="Y25" i="21"/>
  <c r="H26" i="21"/>
  <c r="Y26" i="21"/>
  <c r="H27" i="21"/>
  <c r="Y27" i="21"/>
  <c r="H28" i="21"/>
  <c r="Y28" i="21"/>
  <c r="H29" i="21"/>
  <c r="Y29" i="21"/>
  <c r="H30" i="21"/>
  <c r="Y30" i="21"/>
  <c r="H31" i="21"/>
  <c r="Y31" i="21"/>
  <c r="H32" i="21"/>
  <c r="Y32" i="21"/>
  <c r="H33" i="21"/>
  <c r="Y33" i="21"/>
  <c r="H34" i="21"/>
  <c r="Y34" i="21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AD3" i="16"/>
  <c r="AD4" i="16"/>
  <c r="AD5" i="16"/>
  <c r="AD6" i="16"/>
  <c r="AD7" i="16"/>
  <c r="AD8" i="16"/>
  <c r="AD9" i="16"/>
  <c r="AD10" i="16"/>
  <c r="AD11" i="16"/>
  <c r="AD12" i="16"/>
  <c r="AD13" i="16"/>
  <c r="AD14" i="16"/>
  <c r="AD15" i="16"/>
  <c r="AD16" i="16"/>
  <c r="AD17" i="16"/>
  <c r="AD18" i="16"/>
  <c r="AD19" i="16"/>
  <c r="AD20" i="16"/>
  <c r="AD21" i="16"/>
  <c r="AD22" i="16"/>
  <c r="AD23" i="16"/>
  <c r="AD24" i="16"/>
  <c r="AD25" i="16"/>
  <c r="AD26" i="16"/>
  <c r="AD27" i="16"/>
  <c r="AD28" i="16"/>
  <c r="AD29" i="16"/>
  <c r="AD30" i="16"/>
  <c r="AD31" i="16"/>
  <c r="AD32" i="16"/>
  <c r="AD33" i="16"/>
  <c r="AD34" i="16"/>
  <c r="AD35" i="16"/>
  <c r="AD36" i="16"/>
  <c r="AD37" i="16"/>
  <c r="AD38" i="16"/>
  <c r="AD39" i="16"/>
  <c r="AD40" i="16"/>
  <c r="AD41" i="16"/>
  <c r="AD42" i="16"/>
  <c r="AD43" i="16"/>
  <c r="AD44" i="16"/>
  <c r="AD45" i="16"/>
  <c r="AD46" i="16"/>
  <c r="AD47" i="16"/>
  <c r="AD48" i="16"/>
  <c r="AD49" i="16"/>
  <c r="AD50" i="16"/>
  <c r="AD51" i="16"/>
  <c r="AD52" i="16"/>
  <c r="AD53" i="16"/>
  <c r="AD54" i="16"/>
  <c r="AD55" i="16"/>
  <c r="AD57" i="16" l="1"/>
  <c r="J57" i="16"/>
  <c r="AF55" i="16"/>
  <c r="AF54" i="16"/>
  <c r="AF53" i="16"/>
  <c r="AF52" i="16"/>
  <c r="AF51" i="16"/>
  <c r="AF50" i="16"/>
  <c r="AF49" i="16"/>
  <c r="AF48" i="16"/>
  <c r="AF47" i="16"/>
  <c r="AF46" i="16"/>
  <c r="AF45" i="16"/>
  <c r="AF44" i="16"/>
  <c r="AF43" i="16"/>
  <c r="AF42" i="16"/>
  <c r="AF41" i="16"/>
  <c r="AF40" i="16"/>
  <c r="AF39" i="16"/>
  <c r="AF38" i="16"/>
  <c r="AF37" i="16"/>
  <c r="AF36" i="16"/>
  <c r="AF35" i="16"/>
  <c r="AF34" i="16"/>
  <c r="AF33" i="16"/>
  <c r="AF32" i="16"/>
  <c r="AF31" i="16"/>
  <c r="AF30" i="16"/>
  <c r="AF29" i="16"/>
  <c r="AF28" i="16"/>
  <c r="AF27" i="16"/>
  <c r="AF26" i="16"/>
  <c r="AF25" i="16"/>
  <c r="AF24" i="16"/>
  <c r="AF23" i="16"/>
  <c r="AF22" i="16"/>
  <c r="AF21" i="16"/>
  <c r="AF20" i="16"/>
  <c r="AF19" i="16"/>
  <c r="AF18" i="16"/>
  <c r="AF17" i="16"/>
  <c r="AF16" i="16"/>
  <c r="AF15" i="16"/>
  <c r="AF14" i="16"/>
  <c r="AF13" i="16"/>
  <c r="AF12" i="16"/>
  <c r="AF11" i="16"/>
  <c r="AF10" i="16"/>
  <c r="AF9" i="16"/>
  <c r="AF8" i="16"/>
  <c r="AF7" i="16"/>
  <c r="AF6" i="16"/>
  <c r="AF5" i="16"/>
  <c r="AF4" i="16"/>
  <c r="AF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8" i="12"/>
  <c r="K58" i="12"/>
  <c r="L2" i="12"/>
  <c r="K2" i="12"/>
  <c r="L56" i="16" l="1"/>
  <c r="AF56" i="16"/>
</calcChain>
</file>

<file path=xl/sharedStrings.xml><?xml version="1.0" encoding="utf-8"?>
<sst xmlns="http://schemas.openxmlformats.org/spreadsheetml/2006/main" count="4803" uniqueCount="598">
  <si>
    <t>codigo</t>
  </si>
  <si>
    <t>Lugar</t>
  </si>
  <si>
    <t>Superorden</t>
  </si>
  <si>
    <t>Orden</t>
  </si>
  <si>
    <t>Superfamilia</t>
  </si>
  <si>
    <t>Familia</t>
  </si>
  <si>
    <t>Genero</t>
  </si>
  <si>
    <t>cantidad</t>
  </si>
  <si>
    <t>trampa</t>
  </si>
  <si>
    <t>0258(e)</t>
  </si>
  <si>
    <t>pns</t>
  </si>
  <si>
    <t>Acariformes</t>
  </si>
  <si>
    <t>Astigmata</t>
  </si>
  <si>
    <t>Berlese</t>
  </si>
  <si>
    <t>O758</t>
  </si>
  <si>
    <t>pnm</t>
  </si>
  <si>
    <t>Pitfall</t>
  </si>
  <si>
    <t>0974(g)</t>
  </si>
  <si>
    <t>Oribatida</t>
  </si>
  <si>
    <t> Otocepheoidea</t>
  </si>
  <si>
    <t>Otocepheidae</t>
  </si>
  <si>
    <t>1325 (b)</t>
  </si>
  <si>
    <t>O734</t>
  </si>
  <si>
    <t>Achipterioidea</t>
  </si>
  <si>
    <t>Achipteriidae</t>
  </si>
  <si>
    <t>O151</t>
  </si>
  <si>
    <t>O155</t>
  </si>
  <si>
    <t>O114</t>
  </si>
  <si>
    <t>Crotonioidea</t>
  </si>
  <si>
    <t>Nothridae </t>
  </si>
  <si>
    <t>Nothrus</t>
  </si>
  <si>
    <t>O633(b)</t>
  </si>
  <si>
    <t>O358(e)</t>
  </si>
  <si>
    <t>Euphthiracaroidea</t>
  </si>
  <si>
    <t>Euphthiracaridae </t>
  </si>
  <si>
    <t>Eupthiracarus</t>
  </si>
  <si>
    <t>1578(c)</t>
  </si>
  <si>
    <t>Microtritia</t>
  </si>
  <si>
    <t>Oribotritidae</t>
  </si>
  <si>
    <t>Indotritia</t>
  </si>
  <si>
    <t>O995(b)</t>
  </si>
  <si>
    <t>Oribotritia</t>
  </si>
  <si>
    <t>Peritritia</t>
  </si>
  <si>
    <t>O128</t>
  </si>
  <si>
    <t>Galumnoidea</t>
  </si>
  <si>
    <t>O220</t>
  </si>
  <si>
    <t>O258(e)</t>
  </si>
  <si>
    <t>O974(e)</t>
  </si>
  <si>
    <t>O989(b)</t>
  </si>
  <si>
    <t>1644(c)</t>
  </si>
  <si>
    <t>1333(c)</t>
  </si>
  <si>
    <t>1644(b)</t>
  </si>
  <si>
    <t>1727(d)</t>
  </si>
  <si>
    <t>1727(g)</t>
  </si>
  <si>
    <t>O518(b)</t>
  </si>
  <si>
    <t>Hermannielloidea</t>
  </si>
  <si>
    <t>Hermanniellidae</t>
  </si>
  <si>
    <t>Sacculobates</t>
  </si>
  <si>
    <t>O805</t>
  </si>
  <si>
    <t>1615(b)</t>
  </si>
  <si>
    <t>Lohmannioidea</t>
  </si>
  <si>
    <t>Lohmanniidae</t>
  </si>
  <si>
    <t>Austracarus</t>
  </si>
  <si>
    <t>1672(a)</t>
  </si>
  <si>
    <t>Lohmannia</t>
  </si>
  <si>
    <t>O265</t>
  </si>
  <si>
    <t>Meristacarus</t>
  </si>
  <si>
    <t>O400</t>
  </si>
  <si>
    <t>O974(b)</t>
  </si>
  <si>
    <t>1312(b)</t>
  </si>
  <si>
    <t>1494(b)</t>
  </si>
  <si>
    <t>1653(d)</t>
  </si>
  <si>
    <t>1494(c)</t>
  </si>
  <si>
    <t>Papillacarus</t>
  </si>
  <si>
    <t>Thamnacarus</t>
  </si>
  <si>
    <t>0995(c)</t>
  </si>
  <si>
    <t>Torpacarus</t>
  </si>
  <si>
    <t>O012</t>
  </si>
  <si>
    <t>O734(l)</t>
  </si>
  <si>
    <t>O021</t>
  </si>
  <si>
    <t xml:space="preserve">Nehypochthonioidea </t>
  </si>
  <si>
    <t>Nehypochthoniidae</t>
  </si>
  <si>
    <t>O035(b)</t>
  </si>
  <si>
    <t>O046</t>
  </si>
  <si>
    <t>O240</t>
  </si>
  <si>
    <t xml:space="preserve">O301 </t>
  </si>
  <si>
    <t>O358(c)</t>
  </si>
  <si>
    <t>O382</t>
  </si>
  <si>
    <t xml:space="preserve">
O414 (b)</t>
  </si>
  <si>
    <t>O465</t>
  </si>
  <si>
    <t>O518</t>
  </si>
  <si>
    <t>O551</t>
  </si>
  <si>
    <t>O625(b)</t>
  </si>
  <si>
    <t>O637</t>
  </si>
  <si>
    <t>O641</t>
  </si>
  <si>
    <t>O650</t>
  </si>
  <si>
    <t>O655</t>
  </si>
  <si>
    <t>O659</t>
  </si>
  <si>
    <t>O674</t>
  </si>
  <si>
    <t>O726</t>
  </si>
  <si>
    <t>O773(b)</t>
  </si>
  <si>
    <t>O941</t>
  </si>
  <si>
    <t>1672(b)</t>
  </si>
  <si>
    <t>O085(b)</t>
  </si>
  <si>
    <t>Neoliodoidea </t>
  </si>
  <si>
    <t>Neoliodidae</t>
  </si>
  <si>
    <t>Neoliodes</t>
  </si>
  <si>
    <t>O358(b)</t>
  </si>
  <si>
    <t>1320(b)</t>
  </si>
  <si>
    <t>1325(c)</t>
  </si>
  <si>
    <t>0179(b)</t>
  </si>
  <si>
    <t>O234</t>
  </si>
  <si>
    <t>Oppioidea</t>
  </si>
  <si>
    <t>Opiidae</t>
  </si>
  <si>
    <t>Aeroppia</t>
  </si>
  <si>
    <t>O100</t>
  </si>
  <si>
    <t>O358(d)</t>
  </si>
  <si>
    <t xml:space="preserve">1699(c) </t>
  </si>
  <si>
    <t>1727(f)</t>
  </si>
  <si>
    <t>1653(o)</t>
  </si>
  <si>
    <t>Chavinia</t>
  </si>
  <si>
    <t xml:space="preserve">1699(e) </t>
  </si>
  <si>
    <t>Gittella</t>
  </si>
  <si>
    <t>O258(b)</t>
  </si>
  <si>
    <t>O995(e)</t>
  </si>
  <si>
    <t>O758(b)</t>
  </si>
  <si>
    <t>Oripodoidea</t>
  </si>
  <si>
    <t>Haplozetidae</t>
  </si>
  <si>
    <t>0974(H)</t>
  </si>
  <si>
    <t>1168(b)</t>
  </si>
  <si>
    <t>Incabates</t>
  </si>
  <si>
    <t>1672(c)</t>
  </si>
  <si>
    <t>O021(b)</t>
  </si>
  <si>
    <t>O995(c)</t>
  </si>
  <si>
    <t>1653(e)</t>
  </si>
  <si>
    <t>1793(e)</t>
  </si>
  <si>
    <t>Mochlozetidae</t>
  </si>
  <si>
    <t>1125(b)</t>
  </si>
  <si>
    <t>O438</t>
  </si>
  <si>
    <t>Scheloribatidae</t>
  </si>
  <si>
    <t>Paraleius</t>
  </si>
  <si>
    <t>O848</t>
  </si>
  <si>
    <t>1278(b)</t>
  </si>
  <si>
    <t>1333(d)</t>
  </si>
  <si>
    <t>O128(b)</t>
  </si>
  <si>
    <t>1665(b)</t>
  </si>
  <si>
    <t>1665(c)</t>
  </si>
  <si>
    <t>Scheloribates</t>
  </si>
  <si>
    <t>1257(b)</t>
  </si>
  <si>
    <t>O188(c)</t>
  </si>
  <si>
    <t>Stelochobates</t>
  </si>
  <si>
    <t>1653(s)</t>
  </si>
  <si>
    <t>O188</t>
  </si>
  <si>
    <t>Phthiracaroidea</t>
  </si>
  <si>
    <t>Phthiracaridae</t>
  </si>
  <si>
    <t>Archipthiracarus</t>
  </si>
  <si>
    <t>O555</t>
  </si>
  <si>
    <t>1672(d)</t>
  </si>
  <si>
    <t>O323(c) H</t>
  </si>
  <si>
    <t>Hoplophorella</t>
  </si>
  <si>
    <t>O323 (c)</t>
  </si>
  <si>
    <t>Hoplophthiracarus</t>
  </si>
  <si>
    <t>Prostigmata</t>
  </si>
  <si>
    <t>Erythraeoidea</t>
  </si>
  <si>
    <t>Erythraeidae</t>
  </si>
  <si>
    <t>O902</t>
  </si>
  <si>
    <t>1653(b)</t>
  </si>
  <si>
    <t>O368(b)</t>
  </si>
  <si>
    <t>Smarididae</t>
  </si>
  <si>
    <t>O983</t>
  </si>
  <si>
    <t>Trombiculoidea</t>
  </si>
  <si>
    <t>Johnstonianidae</t>
  </si>
  <si>
    <t>1368(b)</t>
  </si>
  <si>
    <t>O085</t>
  </si>
  <si>
    <t>Parasitiformes</t>
  </si>
  <si>
    <t>Ixodida</t>
  </si>
  <si>
    <t>Ixodoidea</t>
  </si>
  <si>
    <t>Ixodidae</t>
  </si>
  <si>
    <t>Dermacentor</t>
  </si>
  <si>
    <t>O191</t>
  </si>
  <si>
    <t>0633(b)</t>
  </si>
  <si>
    <t>O698</t>
  </si>
  <si>
    <t>O803</t>
  </si>
  <si>
    <t>1168(c)</t>
  </si>
  <si>
    <t>O188(b)</t>
  </si>
  <si>
    <t>Mesostigmata</t>
  </si>
  <si>
    <t>Celaenopsoidea</t>
  </si>
  <si>
    <t>Schizogyniidae</t>
  </si>
  <si>
    <t>Schizogynium</t>
  </si>
  <si>
    <t>O258</t>
  </si>
  <si>
    <t>Dermanyssoidea</t>
  </si>
  <si>
    <t>Laelapidae</t>
  </si>
  <si>
    <t>Gaeolaelaps</t>
  </si>
  <si>
    <t>O814</t>
  </si>
  <si>
    <t>1470(b)</t>
  </si>
  <si>
    <t>O167</t>
  </si>
  <si>
    <t>O167(x)</t>
  </si>
  <si>
    <t>Laelapidae (L3)</t>
  </si>
  <si>
    <t>0314(a)</t>
  </si>
  <si>
    <t xml:space="preserve">Eviphidoidea </t>
  </si>
  <si>
    <t>Macrochelidae</t>
  </si>
  <si>
    <t>Allogynaspis</t>
  </si>
  <si>
    <t>O314 (b)</t>
  </si>
  <si>
    <t>Geholaspis</t>
  </si>
  <si>
    <t>Glyptholaspis</t>
  </si>
  <si>
    <t>Holostapella</t>
  </si>
  <si>
    <t>O035</t>
  </si>
  <si>
    <t>Macrocheles</t>
  </si>
  <si>
    <t>O314 (b)*</t>
  </si>
  <si>
    <t>O498</t>
  </si>
  <si>
    <t>O681</t>
  </si>
  <si>
    <t>O314 (c)</t>
  </si>
  <si>
    <t xml:space="preserve">Parasitoidea </t>
  </si>
  <si>
    <t>Parasitidae</t>
  </si>
  <si>
    <t>Parasitellus</t>
  </si>
  <si>
    <t>0758(c)</t>
  </si>
  <si>
    <t>0884(b)</t>
  </si>
  <si>
    <t>1793(a)</t>
  </si>
  <si>
    <t>O927</t>
  </si>
  <si>
    <t>Phytoseioidea</t>
  </si>
  <si>
    <t>Blattisociidae</t>
  </si>
  <si>
    <t>Lasioseius</t>
  </si>
  <si>
    <t>1615(a)</t>
  </si>
  <si>
    <t>1297(b) Fd8</t>
  </si>
  <si>
    <t>Platyseius</t>
  </si>
  <si>
    <t>Rhodacaroidea</t>
  </si>
  <si>
    <t>Ologamasidae</t>
  </si>
  <si>
    <t>Gamasellopsis</t>
  </si>
  <si>
    <t>O332</t>
  </si>
  <si>
    <t>Gamasiphis</t>
  </si>
  <si>
    <t>0368(c)</t>
  </si>
  <si>
    <t>O586</t>
  </si>
  <si>
    <t>O669</t>
  </si>
  <si>
    <t>0974(a)</t>
  </si>
  <si>
    <t>0974(h)</t>
  </si>
  <si>
    <t>O989</t>
  </si>
  <si>
    <t>O995(a)</t>
  </si>
  <si>
    <t>1297(d)</t>
  </si>
  <si>
    <t>0974(d) K3</t>
  </si>
  <si>
    <t>Uropodoidea</t>
  </si>
  <si>
    <t>Trachyuropodidae </t>
  </si>
  <si>
    <t>Trachyuropoda</t>
  </si>
  <si>
    <t>1333€  Fd7</t>
  </si>
  <si>
    <t>1496 Fd7</t>
  </si>
  <si>
    <t>1502 Fd4</t>
  </si>
  <si>
    <t>O976 Fd2</t>
  </si>
  <si>
    <t>Opiliocarida</t>
  </si>
  <si>
    <t>1537(e)</t>
  </si>
  <si>
    <t>Amerobelboidea </t>
  </si>
  <si>
    <t>Eremulidae</t>
  </si>
  <si>
    <t>Eremulus</t>
  </si>
  <si>
    <t>Trhypochthoniidae</t>
  </si>
  <si>
    <t>Allonothrus</t>
  </si>
  <si>
    <t>1793(f)</t>
  </si>
  <si>
    <t>1712(b)</t>
  </si>
  <si>
    <t>1564(b)</t>
  </si>
  <si>
    <t>O428</t>
  </si>
  <si>
    <t>O046(b)</t>
  </si>
  <si>
    <t>O275</t>
  </si>
  <si>
    <t>O596</t>
  </si>
  <si>
    <t>1333(b)</t>
  </si>
  <si>
    <t>O633 (d)</t>
  </si>
  <si>
    <t>O167(b)</t>
  </si>
  <si>
    <t>O179(c)</t>
  </si>
  <si>
    <t>0258(b)</t>
  </si>
  <si>
    <t xml:space="preserve">0465(b) </t>
  </si>
  <si>
    <t>0974(d)</t>
  </si>
  <si>
    <t>O974(i)</t>
  </si>
  <si>
    <t>O974(d)</t>
  </si>
  <si>
    <t>0734(p)</t>
  </si>
  <si>
    <t>Camisidae</t>
  </si>
  <si>
    <t>Bdellidae</t>
  </si>
  <si>
    <t>O819</t>
  </si>
  <si>
    <t>1072(b)</t>
  </si>
  <si>
    <t>1578(d)</t>
  </si>
  <si>
    <t>O452</t>
  </si>
  <si>
    <t>O974©</t>
  </si>
  <si>
    <t>1125 L3</t>
  </si>
  <si>
    <t>O368</t>
  </si>
  <si>
    <t>0496(d)</t>
  </si>
  <si>
    <t>1727(b)</t>
  </si>
  <si>
    <t>1236(z)</t>
  </si>
  <si>
    <t>O496(d)</t>
  </si>
  <si>
    <t>1368 (L5)</t>
  </si>
  <si>
    <t>0734(b)</t>
  </si>
  <si>
    <t>O884(c)</t>
  </si>
  <si>
    <t>O935</t>
  </si>
  <si>
    <t>O258(a)</t>
  </si>
  <si>
    <t>0258(f)</t>
  </si>
  <si>
    <t>1297 Fd9</t>
  </si>
  <si>
    <t>0989(c) Fd5</t>
  </si>
  <si>
    <t>Uropodidae</t>
  </si>
  <si>
    <t>Neodiscopoma</t>
  </si>
  <si>
    <t>1672 Fd2</t>
  </si>
  <si>
    <t xml:space="preserve">O408 </t>
  </si>
  <si>
    <t>O995 Fd3</t>
  </si>
  <si>
    <t>1188 (Fd1)</t>
  </si>
  <si>
    <t xml:space="preserve">O995 </t>
  </si>
  <si>
    <t>Veigaioidea</t>
  </si>
  <si>
    <t>Veigaiidae</t>
  </si>
  <si>
    <t>Veigaia</t>
  </si>
  <si>
    <t>O989(e)</t>
  </si>
  <si>
    <t>O452(e)</t>
  </si>
  <si>
    <t>Nanhermannia</t>
  </si>
  <si>
    <t> Nanhermannioidea</t>
  </si>
  <si>
    <t>Nanhermanniidae</t>
  </si>
  <si>
    <t>s</t>
  </si>
  <si>
    <t>0773(d)</t>
  </si>
  <si>
    <t>1053(a)</t>
  </si>
  <si>
    <t>0496(a)</t>
  </si>
  <si>
    <t>Rectoppia</t>
  </si>
  <si>
    <t>Dicondyla</t>
  </si>
  <si>
    <t>Javacarus</t>
  </si>
  <si>
    <t>Protoribates</t>
  </si>
  <si>
    <t>Calugarella</t>
  </si>
  <si>
    <t>Mochloribatula</t>
  </si>
  <si>
    <t>met-B</t>
  </si>
  <si>
    <t>met-P</t>
  </si>
  <si>
    <t>sob-B</t>
  </si>
  <si>
    <t>sob-P</t>
  </si>
  <si>
    <t>Shannon index</t>
  </si>
  <si>
    <t>H:</t>
  </si>
  <si>
    <t>Variance:</t>
  </si>
  <si>
    <t>t:</t>
  </si>
  <si>
    <t>df:</t>
  </si>
  <si>
    <t>p(same):</t>
  </si>
  <si>
    <t>Simpson index</t>
  </si>
  <si>
    <t>D:</t>
  </si>
  <si>
    <t>UNDETERMINED</t>
  </si>
  <si>
    <t>Euphthiracaridae</t>
  </si>
  <si>
    <t>Nothridae</t>
  </si>
  <si>
    <t>Trachyuropodidae</t>
  </si>
  <si>
    <t>Sarcoptiformes</t>
  </si>
  <si>
    <t>Trombidiformes</t>
  </si>
  <si>
    <t>Mes</t>
  </si>
  <si>
    <t>Familias</t>
  </si>
  <si>
    <t>Galumnidae</t>
  </si>
  <si>
    <t>Conozetes</t>
  </si>
  <si>
    <t>Similobates</t>
  </si>
  <si>
    <t>O715</t>
  </si>
  <si>
    <t>0314(b)</t>
  </si>
  <si>
    <t>0258(c)</t>
  </si>
  <si>
    <t>0803(z)</t>
  </si>
  <si>
    <t>0698(x)</t>
  </si>
  <si>
    <t>0368(d)</t>
  </si>
  <si>
    <t>0452(f)</t>
  </si>
  <si>
    <t>0974(b)</t>
  </si>
  <si>
    <t>0452(b)</t>
  </si>
  <si>
    <t>0452(d)</t>
  </si>
  <si>
    <t>O452(b)</t>
  </si>
  <si>
    <t>O496(b)</t>
  </si>
  <si>
    <t>O502(a)</t>
  </si>
  <si>
    <t>0452(c)</t>
  </si>
  <si>
    <t>O496</t>
  </si>
  <si>
    <t>Géneros</t>
  </si>
  <si>
    <t>Trachyoribates</t>
  </si>
  <si>
    <t>Peloribates</t>
  </si>
  <si>
    <t>PNM 1</t>
  </si>
  <si>
    <t>PNM 3</t>
  </si>
  <si>
    <t>PNS 1</t>
  </si>
  <si>
    <t>PNM 2</t>
  </si>
  <si>
    <t>PNS 2</t>
  </si>
  <si>
    <t>PNS 3</t>
  </si>
  <si>
    <t>PNS 4</t>
  </si>
  <si>
    <t>PNM 5</t>
  </si>
  <si>
    <t>PNS 5</t>
  </si>
  <si>
    <t>PNM 6</t>
  </si>
  <si>
    <t>PNS 6</t>
  </si>
  <si>
    <t>PNM 4</t>
  </si>
  <si>
    <t>sM</t>
  </si>
  <si>
    <t>sS</t>
  </si>
  <si>
    <t>mar</t>
  </si>
  <si>
    <t>apr</t>
  </si>
  <si>
    <t>may</t>
  </si>
  <si>
    <t>M-SE</t>
  </si>
  <si>
    <t>M-IN</t>
  </si>
  <si>
    <t>M-LL</t>
  </si>
  <si>
    <t>S-SE</t>
  </si>
  <si>
    <t>S-IN</t>
  </si>
  <si>
    <t>S-LL</t>
  </si>
  <si>
    <t>m-a</t>
  </si>
  <si>
    <t>m-j</t>
  </si>
  <si>
    <t>j-a</t>
  </si>
  <si>
    <t>M-SECA</t>
  </si>
  <si>
    <t>M-LLUV</t>
  </si>
  <si>
    <t>S-SECA</t>
  </si>
  <si>
    <t>S-LLUV</t>
  </si>
  <si>
    <t>M-Sec</t>
  </si>
  <si>
    <t>M-Llu</t>
  </si>
  <si>
    <t>S-Sec</t>
  </si>
  <si>
    <t>S-Lluv</t>
  </si>
  <si>
    <t>PNM</t>
  </si>
  <si>
    <t>PNS</t>
  </si>
  <si>
    <t>Otocephoidea</t>
  </si>
  <si>
    <t>Amerobelboidea</t>
  </si>
  <si>
    <t>Galumnellidae</t>
  </si>
  <si>
    <t>Dicondyla sp.</t>
  </si>
  <si>
    <t>Morfoespecie 1</t>
  </si>
  <si>
    <t>Morfoespecie 2</t>
  </si>
  <si>
    <t>Morfoespecie 3</t>
  </si>
  <si>
    <t>Morfoespecie 4</t>
  </si>
  <si>
    <t>Morfoespecie 5</t>
  </si>
  <si>
    <t>Morfoespecie 6</t>
  </si>
  <si>
    <t>Morfoespecie 7</t>
  </si>
  <si>
    <t>Morfoespecie 8</t>
  </si>
  <si>
    <t>Morfoespecie 9</t>
  </si>
  <si>
    <t>Morfoespecie 10</t>
  </si>
  <si>
    <t>Morfoespecie 11</t>
  </si>
  <si>
    <t>Morfoespecie 12</t>
  </si>
  <si>
    <t>Morfoespecie 13</t>
  </si>
  <si>
    <t>Morfoespecie 14</t>
  </si>
  <si>
    <t>Morfoespecie 15</t>
  </si>
  <si>
    <t>Morfoespecie 16</t>
  </si>
  <si>
    <t>Morfoespecie 17</t>
  </si>
  <si>
    <t>Morfoespecie 18</t>
  </si>
  <si>
    <t>Morfoespecie 19</t>
  </si>
  <si>
    <t>Morfoespecie 20</t>
  </si>
  <si>
    <t>Morfoespecie 21</t>
  </si>
  <si>
    <t>Morfoespecie 22</t>
  </si>
  <si>
    <t>Morfoespecie 23</t>
  </si>
  <si>
    <t>Morfoespecie 24</t>
  </si>
  <si>
    <t>Opilioacaroidea</t>
  </si>
  <si>
    <t>Diversidad de géneros de ácaros encontrados por mes en PNM</t>
  </si>
  <si>
    <t xml:space="preserve">estación climática </t>
  </si>
  <si>
    <t>Diversidad de géneros de ácaros encontrados por mes en PNS</t>
  </si>
  <si>
    <t>PNM1</t>
  </si>
  <si>
    <t>PNM2</t>
  </si>
  <si>
    <t>PNM3</t>
  </si>
  <si>
    <t>PMM4</t>
  </si>
  <si>
    <t>PNM5</t>
  </si>
  <si>
    <t>PNM6</t>
  </si>
  <si>
    <t>Diversidad de familias de ácaros encontrados por mes en PNM</t>
  </si>
  <si>
    <t xml:space="preserve">por estación </t>
  </si>
  <si>
    <t>Diversidad de familias de ácaros encontrados por mes en PNS</t>
  </si>
  <si>
    <t>por estación</t>
  </si>
  <si>
    <t>Met-P</t>
  </si>
  <si>
    <t>Sob-B</t>
  </si>
  <si>
    <t>Sob-P</t>
  </si>
  <si>
    <t>june</t>
  </si>
  <si>
    <t>july</t>
  </si>
  <si>
    <t>aug</t>
  </si>
  <si>
    <t>Nanhermannioidea</t>
  </si>
  <si>
    <t>Morfoespecie 25</t>
  </si>
  <si>
    <t>Morfoespecie 26</t>
  </si>
  <si>
    <t>Morfoespecie 27</t>
  </si>
  <si>
    <t xml:space="preserve">Galumnidae </t>
  </si>
  <si>
    <t>Morfoespecie 13 C,A (Pro)</t>
  </si>
  <si>
    <t>Humedad</t>
  </si>
  <si>
    <t>pH</t>
  </si>
  <si>
    <t>Luz</t>
  </si>
  <si>
    <t>Altura</t>
  </si>
  <si>
    <t>Altura mts</t>
  </si>
  <si>
    <t>P</t>
  </si>
  <si>
    <t>K</t>
  </si>
  <si>
    <t>N</t>
  </si>
  <si>
    <t>May</t>
  </si>
  <si>
    <t>Jun</t>
  </si>
  <si>
    <t>Jul</t>
  </si>
  <si>
    <t>L= 40 lbA/6¨</t>
  </si>
  <si>
    <t>H= 140 lbA/6¨</t>
  </si>
  <si>
    <t>M= 20 lb/A6¨</t>
  </si>
  <si>
    <t>H= 160 lbA/6¨</t>
  </si>
  <si>
    <t>Aug</t>
  </si>
  <si>
    <t>PS</t>
  </si>
  <si>
    <t>L= 8 lbA/6¨</t>
  </si>
  <si>
    <t>M= 20 lbA/6¨</t>
  </si>
  <si>
    <t>L= 18 lbA/6¨</t>
  </si>
  <si>
    <t>D</t>
  </si>
  <si>
    <t>Tabla 3. Ácaros del superorden Acariformes encontrados en dos bosques de Panamá</t>
  </si>
  <si>
    <t>Tabla 4. Ácaros del superorden Parasitiformes encontrados en dos bosques de Panamá</t>
  </si>
  <si>
    <t>Eremulus sp.</t>
  </si>
  <si>
    <t>Nothrus sp.</t>
  </si>
  <si>
    <t>Allonothrus sp.</t>
  </si>
  <si>
    <t>Eupthiracarus sp.</t>
  </si>
  <si>
    <t>Microtritia sp.</t>
  </si>
  <si>
    <t>Oribotritia sp.</t>
  </si>
  <si>
    <t>Indotritia sp.</t>
  </si>
  <si>
    <t>Peritritia sp.</t>
  </si>
  <si>
    <t>Sacculobates sp.</t>
  </si>
  <si>
    <t>Austracarus sp.</t>
  </si>
  <si>
    <t>Lohmannia sp.</t>
  </si>
  <si>
    <t>Meristacarus sp.</t>
  </si>
  <si>
    <t>Papillacarus sp.</t>
  </si>
  <si>
    <t>Thamnacarus sp.</t>
  </si>
  <si>
    <t>Torpacarus sp.</t>
  </si>
  <si>
    <t>Javacarus sp.</t>
  </si>
  <si>
    <t>Nanhermannia sp.</t>
  </si>
  <si>
    <t>Neoliodes sp.</t>
  </si>
  <si>
    <t>Aeroppia sp.</t>
  </si>
  <si>
    <t>Chavinia sp.</t>
  </si>
  <si>
    <t>Gittella sp.</t>
  </si>
  <si>
    <t>Rectoppia sp.</t>
  </si>
  <si>
    <t>Incabates sp.</t>
  </si>
  <si>
    <t>Trachyoribates sp.</t>
  </si>
  <si>
    <t>Peloribates sp.</t>
  </si>
  <si>
    <t>Protoribates sp.</t>
  </si>
  <si>
    <t>Mochloribatula sp.</t>
  </si>
  <si>
    <t>Calugarella sp.</t>
  </si>
  <si>
    <t>Similobates sp.</t>
  </si>
  <si>
    <t>Conozetes sp.</t>
  </si>
  <si>
    <t>Paraleius sp.</t>
  </si>
  <si>
    <t>Scheloribates sp.</t>
  </si>
  <si>
    <t>Stelochobates sp.</t>
  </si>
  <si>
    <t>Archipthiracarus sp.</t>
  </si>
  <si>
    <t>Hoplophorella sp.</t>
  </si>
  <si>
    <t>Dermacentor sp.</t>
  </si>
  <si>
    <t>Schizogynium sp.</t>
  </si>
  <si>
    <t>Gaeolaelaps sp.</t>
  </si>
  <si>
    <t>Allogynaspis sp.</t>
  </si>
  <si>
    <t>Geholaspis sp.</t>
  </si>
  <si>
    <t>Glyptholaspis sp.</t>
  </si>
  <si>
    <t>Holostapella sp.</t>
  </si>
  <si>
    <t>Macrocheles sp.</t>
  </si>
  <si>
    <t>Parasitellus sp.</t>
  </si>
  <si>
    <t>Lasioseius sp.</t>
  </si>
  <si>
    <t>Platyseius sp.</t>
  </si>
  <si>
    <t>Gamasellopsis sp.</t>
  </si>
  <si>
    <t>Gamasiphis sp.</t>
  </si>
  <si>
    <t>Trachyuropoda sp.</t>
  </si>
  <si>
    <t>Neodiscopoma sp.</t>
  </si>
  <si>
    <t>Veigaia sp.</t>
  </si>
  <si>
    <t xml:space="preserve">Alimentación </t>
  </si>
  <si>
    <t>Depredadores</t>
  </si>
  <si>
    <t xml:space="preserve">Presas </t>
  </si>
  <si>
    <t>Otros</t>
  </si>
  <si>
    <t xml:space="preserve">alimentacion </t>
  </si>
  <si>
    <t xml:space="preserve">Mesostigmata, </t>
  </si>
  <si>
    <t>nematodos</t>
  </si>
  <si>
    <t>Oribatidos</t>
  </si>
  <si>
    <t>mat fungico, detritus de plantas</t>
  </si>
  <si>
    <t>Phytoseiidae</t>
  </si>
  <si>
    <t xml:space="preserve">Astigmatas </t>
  </si>
  <si>
    <t xml:space="preserve">hongos y algas </t>
  </si>
  <si>
    <t xml:space="preserve">Rostrozetes sp. </t>
  </si>
  <si>
    <t xml:space="preserve">Vegetacion, microbios en descomposicion  </t>
  </si>
  <si>
    <t xml:space="preserve">Ologamasidae </t>
  </si>
  <si>
    <t xml:space="preserve">artrópiodos pequeños, Oribatidos, nemátodos </t>
  </si>
  <si>
    <t xml:space="preserve">Scheloribates </t>
  </si>
  <si>
    <t xml:space="preserve">fungívoro, nematodos </t>
  </si>
  <si>
    <t>Gamasellus</t>
  </si>
  <si>
    <t xml:space="preserve">Eupelops </t>
  </si>
  <si>
    <t xml:space="preserve">Fungívoros </t>
  </si>
  <si>
    <t xml:space="preserve">zerconide </t>
  </si>
  <si>
    <t xml:space="preserve">artrópiodos pequeños, nematodos </t>
  </si>
  <si>
    <t>Tydeidae</t>
  </si>
  <si>
    <t>hifas</t>
  </si>
  <si>
    <t>Ascidae, Asca sp.</t>
  </si>
  <si>
    <t xml:space="preserve">Tetranychus </t>
  </si>
  <si>
    <t>hongos</t>
  </si>
  <si>
    <t xml:space="preserve">artrópiodos pequeños, nemat </t>
  </si>
  <si>
    <t xml:space="preserve">Oligonychus, </t>
  </si>
  <si>
    <t xml:space="preserve">gramíneas, hierbas y helechos </t>
  </si>
  <si>
    <t xml:space="preserve">Lasioseius </t>
  </si>
  <si>
    <t xml:space="preserve">artrópiodos pequeños, acaros , nemat </t>
  </si>
  <si>
    <t>Ameroseiidae</t>
  </si>
  <si>
    <t xml:space="preserve"> fungívoros </t>
  </si>
  <si>
    <t>Uropodina</t>
  </si>
  <si>
    <t>colembolos, hongos</t>
  </si>
  <si>
    <t xml:space="preserve">artrópodos. Laesioseius disminucion, micofagos, </t>
  </si>
  <si>
    <t xml:space="preserve">acaros depredadore, colembolas y nematodos </t>
  </si>
  <si>
    <t xml:space="preserve">nematodos, artrópodos </t>
  </si>
  <si>
    <t>Laelasps</t>
  </si>
  <si>
    <t xml:space="preserve">nematófagos especializados </t>
  </si>
  <si>
    <t>Cosmolaelaps</t>
  </si>
  <si>
    <t>Stratiolaelaps</t>
  </si>
  <si>
    <t>artrópodos, insec (larv mosq) hongos</t>
  </si>
  <si>
    <t xml:space="preserve">Parasitidae, </t>
  </si>
  <si>
    <t xml:space="preserve">nematodos </t>
  </si>
  <si>
    <t>Rhodacaridae</t>
  </si>
  <si>
    <t>Dermanyssina</t>
  </si>
  <si>
    <t>artrópodos, insec, colembolo</t>
  </si>
  <si>
    <t>Parasitina</t>
  </si>
  <si>
    <t>artrópodos, insec</t>
  </si>
  <si>
    <t>colembolos</t>
  </si>
  <si>
    <t xml:space="preserve">prostigmatans </t>
  </si>
  <si>
    <t xml:space="preserve">prostigmatas descendencia </t>
  </si>
  <si>
    <t xml:space="preserve">Bdellidae </t>
  </si>
  <si>
    <t xml:space="preserve">nematodos, artropodos, oribatidos </t>
  </si>
  <si>
    <t>Cunaxidae</t>
  </si>
  <si>
    <t xml:space="preserve">nematodos, artropodos, acaros </t>
  </si>
  <si>
    <t xml:space="preserve">Labidostommatidae. </t>
  </si>
  <si>
    <t>artrópodos, collembolos, acaros e insecto, oribatids</t>
  </si>
  <si>
    <t>Trombidiioidea</t>
  </si>
  <si>
    <t>artrópodos, insectos</t>
  </si>
  <si>
    <t xml:space="preserve">Galumnidaes </t>
  </si>
  <si>
    <t>Haplozetidos</t>
  </si>
  <si>
    <t>Opioides</t>
  </si>
  <si>
    <t>homigas</t>
  </si>
  <si>
    <t>Mesostigmtas</t>
  </si>
  <si>
    <t>escarabajos Scydmaeninne</t>
  </si>
  <si>
    <t>Oribatida, Mesostigmata, (Uropodina)</t>
  </si>
  <si>
    <t>pajaro: picabueyes</t>
  </si>
  <si>
    <t xml:space="preserve">Salamandras </t>
  </si>
  <si>
    <t xml:space="preserve">Acaros , oribatidos </t>
  </si>
  <si>
    <t xml:space="preserve">* En el mes de Marzo no se tomó muestra </t>
  </si>
  <si>
    <t>%</t>
  </si>
  <si>
    <t>n=</t>
  </si>
  <si>
    <t>INCOMPLETE ORGANISM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</si>
</sst>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4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ahoma"/>
      <family val="2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imes New Roman"/>
      <family val="1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0"/>
      <name val="Times New Roman"/>
      <family val="1"/>
    </font>
    <font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4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/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273">
    <xf numFmtId="0" fontId="0" fillId="0" borderId="0" xfId="0"/>
    <xf numFmtId="0" fontId="3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/>
    </xf>
    <xf numFmtId="0" fontId="7" fillId="0" borderId="1" xfId="0" applyFont="1" applyBorder="1"/>
    <xf numFmtId="0" fontId="5" fillId="0" borderId="1" xfId="0" applyFont="1" applyBorder="1" applyAlignment="1">
      <alignment horizontal="center"/>
    </xf>
    <xf numFmtId="0" fontId="8" fillId="0" borderId="1" xfId="0" applyFont="1" applyBorder="1"/>
    <xf numFmtId="0" fontId="5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1" fillId="0" borderId="0" xfId="0" applyFont="1"/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16" fillId="2" borderId="0" xfId="0" applyFont="1" applyFill="1"/>
    <xf numFmtId="0" fontId="16" fillId="2" borderId="0" xfId="0" applyFont="1" applyFill="1" applyAlignment="1">
      <alignment horizontal="left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0" fontId="12" fillId="2" borderId="0" xfId="0" applyFont="1" applyFill="1"/>
    <xf numFmtId="0" fontId="19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1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" fillId="3" borderId="0" xfId="0" applyFont="1" applyFill="1"/>
    <xf numFmtId="0" fontId="16" fillId="3" borderId="0" xfId="0" applyFont="1" applyFill="1" applyAlignment="1">
      <alignment horizontal="left"/>
    </xf>
    <xf numFmtId="0" fontId="17" fillId="3" borderId="0" xfId="0" applyFont="1" applyFill="1" applyAlignment="1">
      <alignment horizontal="left" vertical="center"/>
    </xf>
    <xf numFmtId="0" fontId="19" fillId="3" borderId="0" xfId="0" applyFont="1" applyFill="1"/>
    <xf numFmtId="0" fontId="16" fillId="3" borderId="0" xfId="0" applyFont="1" applyFill="1"/>
    <xf numFmtId="0" fontId="18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0" fontId="19" fillId="4" borderId="0" xfId="0" applyFont="1" applyFill="1"/>
    <xf numFmtId="0" fontId="16" fillId="4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3" fillId="0" borderId="1" xfId="0" applyFont="1" applyBorder="1" applyAlignment="1">
      <alignment horizontal="center"/>
    </xf>
    <xf numFmtId="0" fontId="13" fillId="0" borderId="1" xfId="0" applyFont="1" applyBorder="1"/>
    <xf numFmtId="0" fontId="20" fillId="0" borderId="1" xfId="0" applyFont="1" applyBorder="1"/>
    <xf numFmtId="0" fontId="13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5" fillId="2" borderId="1" xfId="0" applyFont="1" applyFill="1" applyBorder="1"/>
    <xf numFmtId="0" fontId="0" fillId="0" borderId="5" xfId="0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5" fillId="2" borderId="0" xfId="0" applyFont="1" applyFill="1"/>
    <xf numFmtId="0" fontId="15" fillId="0" borderId="2" xfId="0" applyFont="1" applyBorder="1"/>
    <xf numFmtId="0" fontId="20" fillId="0" borderId="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0" fillId="0" borderId="7" xfId="0" applyFont="1" applyBorder="1" applyAlignment="1">
      <alignment horizontal="center"/>
    </xf>
    <xf numFmtId="0" fontId="23" fillId="2" borderId="8" xfId="0" applyFont="1" applyFill="1" applyBorder="1"/>
    <xf numFmtId="0" fontId="22" fillId="2" borderId="0" xfId="0" applyFont="1" applyFill="1"/>
    <xf numFmtId="0" fontId="22" fillId="2" borderId="9" xfId="0" applyFont="1" applyFill="1" applyBorder="1"/>
    <xf numFmtId="0" fontId="2" fillId="2" borderId="7" xfId="0" applyFont="1" applyFill="1" applyBorder="1"/>
    <xf numFmtId="0" fontId="12" fillId="2" borderId="7" xfId="0" applyFont="1" applyFill="1" applyBorder="1"/>
    <xf numFmtId="0" fontId="24" fillId="2" borderId="7" xfId="0" applyFont="1" applyFill="1" applyBorder="1"/>
    <xf numFmtId="0" fontId="22" fillId="2" borderId="10" xfId="0" applyFont="1" applyFill="1" applyBorder="1"/>
    <xf numFmtId="0" fontId="22" fillId="2" borderId="2" xfId="0" applyFont="1" applyFill="1" applyBorder="1"/>
    <xf numFmtId="0" fontId="12" fillId="2" borderId="2" xfId="0" applyFont="1" applyFill="1" applyBorder="1"/>
    <xf numFmtId="0" fontId="2" fillId="2" borderId="2" xfId="0" applyFont="1" applyFill="1" applyBorder="1"/>
    <xf numFmtId="0" fontId="2" fillId="2" borderId="8" xfId="0" applyFont="1" applyFill="1" applyBorder="1"/>
    <xf numFmtId="0" fontId="2" fillId="2" borderId="5" xfId="0" applyFont="1" applyFill="1" applyBorder="1"/>
    <xf numFmtId="0" fontId="22" fillId="2" borderId="4" xfId="0" applyFont="1" applyFill="1" applyBorder="1"/>
    <xf numFmtId="0" fontId="22" fillId="2" borderId="13" xfId="0" applyFont="1" applyFill="1" applyBorder="1"/>
    <xf numFmtId="0" fontId="22" fillId="2" borderId="14" xfId="0" applyFont="1" applyFill="1" applyBorder="1"/>
    <xf numFmtId="0" fontId="2" fillId="2" borderId="6" xfId="0" applyFont="1" applyFill="1" applyBorder="1"/>
    <xf numFmtId="0" fontId="2" fillId="2" borderId="15" xfId="0" applyFont="1" applyFill="1" applyBorder="1"/>
    <xf numFmtId="0" fontId="22" fillId="2" borderId="5" xfId="0" applyFont="1" applyFill="1" applyBorder="1"/>
    <xf numFmtId="0" fontId="22" fillId="2" borderId="8" xfId="0" applyFont="1" applyFill="1" applyBorder="1"/>
    <xf numFmtId="0" fontId="22" fillId="2" borderId="3" xfId="0" applyFont="1" applyFill="1" applyBorder="1"/>
    <xf numFmtId="0" fontId="22" fillId="2" borderId="1" xfId="0" applyFont="1" applyFill="1" applyBorder="1"/>
    <xf numFmtId="0" fontId="22" fillId="2" borderId="12" xfId="0" applyFont="1" applyFill="1" applyBorder="1"/>
    <xf numFmtId="0" fontId="22" fillId="2" borderId="15" xfId="0" applyFont="1" applyFill="1" applyBorder="1"/>
    <xf numFmtId="0" fontId="12" fillId="2" borderId="5" xfId="0" applyFont="1" applyFill="1" applyBorder="1"/>
    <xf numFmtId="0" fontId="22" fillId="2" borderId="6" xfId="0" applyFont="1" applyFill="1" applyBorder="1"/>
    <xf numFmtId="0" fontId="2" fillId="2" borderId="11" xfId="0" applyFont="1" applyFill="1" applyBorder="1"/>
    <xf numFmtId="0" fontId="25" fillId="2" borderId="8" xfId="0" applyFont="1" applyFill="1" applyBorder="1"/>
    <xf numFmtId="0" fontId="26" fillId="2" borderId="0" xfId="0" applyFont="1" applyFill="1"/>
    <xf numFmtId="0" fontId="2" fillId="2" borderId="10" xfId="0" applyFont="1" applyFill="1" applyBorder="1"/>
    <xf numFmtId="0" fontId="1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3" fillId="2" borderId="0" xfId="0" applyFont="1" applyFill="1"/>
    <xf numFmtId="0" fontId="22" fillId="2" borderId="7" xfId="0" applyFont="1" applyFill="1" applyBorder="1"/>
    <xf numFmtId="0" fontId="22" fillId="2" borderId="2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10" xfId="0" applyFont="1" applyFill="1" applyBorder="1" applyAlignment="1">
      <alignment horizontal="center"/>
    </xf>
    <xf numFmtId="0" fontId="22" fillId="2" borderId="14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9" fillId="2" borderId="2" xfId="0" applyFont="1" applyFill="1" applyBorder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2" fillId="2" borderId="1" xfId="0" applyFont="1" applyFill="1" applyBorder="1"/>
    <xf numFmtId="0" fontId="28" fillId="2" borderId="5" xfId="0" applyFont="1" applyFill="1" applyBorder="1" applyAlignment="1">
      <alignment horizontal="center"/>
    </xf>
    <xf numFmtId="0" fontId="28" fillId="2" borderId="8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0" fillId="0" borderId="1" xfId="0" applyFont="1" applyBorder="1"/>
    <xf numFmtId="0" fontId="1" fillId="0" borderId="0" xfId="0" applyFont="1"/>
    <xf numFmtId="0" fontId="5" fillId="0" borderId="2" xfId="0" applyFont="1" applyBorder="1" applyAlignment="1">
      <alignment horizontal="center" vertical="center"/>
    </xf>
    <xf numFmtId="0" fontId="11" fillId="0" borderId="1" xfId="0" applyFont="1" applyBorder="1"/>
    <xf numFmtId="0" fontId="0" fillId="0" borderId="7" xfId="0" applyBorder="1"/>
    <xf numFmtId="0" fontId="7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6" borderId="1" xfId="0" applyFont="1" applyFill="1" applyBorder="1"/>
    <xf numFmtId="0" fontId="0" fillId="6" borderId="1" xfId="0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5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6" borderId="1" xfId="0" applyFont="1" applyFill="1" applyBorder="1"/>
    <xf numFmtId="0" fontId="15" fillId="6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15" fillId="6" borderId="2" xfId="0" applyFont="1" applyFill="1" applyBorder="1"/>
    <xf numFmtId="0" fontId="15" fillId="6" borderId="2" xfId="0" applyFont="1" applyFill="1" applyBorder="1" applyAlignment="1">
      <alignment horizontal="center"/>
    </xf>
    <xf numFmtId="0" fontId="8" fillId="6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7" fillId="6" borderId="1" xfId="0" applyFont="1" applyFill="1" applyBorder="1"/>
    <xf numFmtId="0" fontId="15" fillId="6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0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2" xfId="0" applyBorder="1"/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center" vertical="top"/>
    </xf>
    <xf numFmtId="0" fontId="22" fillId="2" borderId="7" xfId="0" applyFont="1" applyFill="1" applyBorder="1" applyAlignment="1">
      <alignment horizontal="center"/>
    </xf>
    <xf numFmtId="0" fontId="30" fillId="0" borderId="1" xfId="0" applyFont="1" applyBorder="1"/>
    <xf numFmtId="0" fontId="28" fillId="2" borderId="6" xfId="0" applyFont="1" applyFill="1" applyBorder="1" applyAlignment="1">
      <alignment horizontal="center"/>
    </xf>
    <xf numFmtId="0" fontId="12" fillId="2" borderId="8" xfId="0" applyFont="1" applyFill="1" applyBorder="1"/>
    <xf numFmtId="0" fontId="22" fillId="2" borderId="6" xfId="0" applyFont="1" applyFill="1" applyBorder="1" applyAlignment="1">
      <alignment horizontal="center"/>
    </xf>
    <xf numFmtId="0" fontId="13" fillId="0" borderId="8" xfId="0" applyFont="1" applyBorder="1"/>
    <xf numFmtId="0" fontId="13" fillId="0" borderId="11" xfId="0" applyFont="1" applyBorder="1"/>
    <xf numFmtId="0" fontId="13" fillId="0" borderId="8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0" xfId="0" applyFont="1"/>
    <xf numFmtId="0" fontId="0" fillId="0" borderId="6" xfId="0" applyBorder="1"/>
    <xf numFmtId="0" fontId="13" fillId="0" borderId="6" xfId="0" applyFont="1" applyBorder="1"/>
    <xf numFmtId="0" fontId="1" fillId="0" borderId="1" xfId="0" applyFont="1" applyBorder="1"/>
    <xf numFmtId="0" fontId="5" fillId="2" borderId="0" xfId="0" applyFont="1" applyFill="1" applyAlignment="1">
      <alignment horizontal="left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15" fillId="2" borderId="0" xfId="0" applyFont="1" applyFill="1" applyAlignment="1">
      <alignment vertical="center"/>
    </xf>
    <xf numFmtId="0" fontId="31" fillId="2" borderId="0" xfId="0" applyFont="1" applyFill="1" applyAlignment="1">
      <alignment horizontal="center"/>
    </xf>
    <xf numFmtId="0" fontId="31" fillId="2" borderId="8" xfId="0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32" fillId="2" borderId="8" xfId="0" applyFont="1" applyFill="1" applyBorder="1" applyAlignment="1">
      <alignment horizontal="center"/>
    </xf>
    <xf numFmtId="0" fontId="25" fillId="2" borderId="10" xfId="0" applyFont="1" applyFill="1" applyBorder="1"/>
    <xf numFmtId="0" fontId="25" fillId="2" borderId="2" xfId="0" applyFont="1" applyFill="1" applyBorder="1"/>
    <xf numFmtId="0" fontId="25" fillId="2" borderId="1" xfId="0" applyFont="1" applyFill="1" applyBorder="1"/>
    <xf numFmtId="0" fontId="33" fillId="0" borderId="1" xfId="0" applyFont="1" applyBorder="1"/>
    <xf numFmtId="0" fontId="25" fillId="2" borderId="5" xfId="0" applyFont="1" applyFill="1" applyBorder="1"/>
    <xf numFmtId="0" fontId="34" fillId="2" borderId="0" xfId="0" applyFont="1" applyFill="1" applyAlignment="1">
      <alignment horizontal="center"/>
    </xf>
    <xf numFmtId="0" fontId="1" fillId="7" borderId="0" xfId="0" applyFont="1" applyFill="1"/>
    <xf numFmtId="11" fontId="1" fillId="2" borderId="0" xfId="0" applyNumberFormat="1" applyFont="1" applyFill="1"/>
    <xf numFmtId="0" fontId="13" fillId="0" borderId="8" xfId="0" applyFont="1" applyBorder="1" applyAlignment="1">
      <alignment horizontal="center"/>
    </xf>
    <xf numFmtId="0" fontId="21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7" fillId="0" borderId="0" xfId="0" applyFont="1" applyAlignment="1">
      <alignment vertical="top"/>
    </xf>
    <xf numFmtId="0" fontId="0" fillId="8" borderId="0" xfId="0" applyFill="1"/>
    <xf numFmtId="0" fontId="16" fillId="2" borderId="8" xfId="0" applyFont="1" applyFill="1" applyBorder="1"/>
    <xf numFmtId="0" fontId="16" fillId="2" borderId="0" xfId="0" applyFont="1" applyFill="1" applyAlignment="1">
      <alignment horizontal="center"/>
    </xf>
    <xf numFmtId="0" fontId="35" fillId="2" borderId="0" xfId="0" applyFont="1" applyFill="1"/>
    <xf numFmtId="0" fontId="35" fillId="8" borderId="0" xfId="0" applyFont="1" applyFill="1"/>
    <xf numFmtId="0" fontId="34" fillId="8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0" fontId="36" fillId="2" borderId="12" xfId="0" applyFont="1" applyFill="1" applyBorder="1"/>
    <xf numFmtId="0" fontId="36" fillId="2" borderId="4" xfId="0" applyFont="1" applyFill="1" applyBorder="1"/>
    <xf numFmtId="0" fontId="36" fillId="2" borderId="1" xfId="0" applyFont="1" applyFill="1" applyBorder="1"/>
    <xf numFmtId="0" fontId="36" fillId="2" borderId="8" xfId="0" applyFont="1" applyFill="1" applyBorder="1"/>
    <xf numFmtId="0" fontId="36" fillId="2" borderId="14" xfId="0" applyFont="1" applyFill="1" applyBorder="1"/>
    <xf numFmtId="0" fontId="36" fillId="2" borderId="3" xfId="0" applyFont="1" applyFill="1" applyBorder="1"/>
    <xf numFmtId="0" fontId="36" fillId="2" borderId="0" xfId="0" applyFont="1" applyFill="1"/>
    <xf numFmtId="0" fontId="36" fillId="2" borderId="13" xfId="0" applyFont="1" applyFill="1" applyBorder="1"/>
    <xf numFmtId="0" fontId="37" fillId="0" borderId="1" xfId="0" applyFont="1" applyBorder="1"/>
    <xf numFmtId="0" fontId="36" fillId="2" borderId="6" xfId="0" applyFont="1" applyFill="1" applyBorder="1"/>
    <xf numFmtId="0" fontId="15" fillId="2" borderId="16" xfId="0" applyFont="1" applyFill="1" applyBorder="1"/>
    <xf numFmtId="0" fontId="1" fillId="2" borderId="17" xfId="0" applyFont="1" applyFill="1" applyBorder="1" applyAlignment="1">
      <alignment horizontal="center"/>
    </xf>
    <xf numFmtId="0" fontId="34" fillId="8" borderId="17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5" fillId="2" borderId="19" xfId="0" applyFont="1" applyFill="1" applyBorder="1"/>
    <xf numFmtId="0" fontId="1" fillId="8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left"/>
    </xf>
    <xf numFmtId="0" fontId="15" fillId="2" borderId="21" xfId="0" applyFont="1" applyFill="1" applyBorder="1"/>
    <xf numFmtId="0" fontId="1" fillId="2" borderId="22" xfId="0" applyFont="1" applyFill="1" applyBorder="1" applyAlignment="1">
      <alignment horizontal="center"/>
    </xf>
    <xf numFmtId="0" fontId="34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5" fillId="2" borderId="24" xfId="0" applyFont="1" applyFill="1" applyBorder="1"/>
    <xf numFmtId="0" fontId="1" fillId="2" borderId="25" xfId="0" applyFont="1" applyFill="1" applyBorder="1" applyAlignment="1">
      <alignment horizontal="center"/>
    </xf>
    <xf numFmtId="0" fontId="15" fillId="2" borderId="24" xfId="0" applyFont="1" applyFill="1" applyBorder="1" applyAlignment="1">
      <alignment vertical="center"/>
    </xf>
    <xf numFmtId="0" fontId="1" fillId="2" borderId="26" xfId="0" applyFont="1" applyFill="1" applyBorder="1"/>
    <xf numFmtId="0" fontId="1" fillId="2" borderId="27" xfId="0" applyFont="1" applyFill="1" applyBorder="1" applyAlignment="1">
      <alignment horizontal="center"/>
    </xf>
    <xf numFmtId="0" fontId="34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5" fillId="2" borderId="29" xfId="0" applyFont="1" applyFill="1" applyBorder="1"/>
    <xf numFmtId="0" fontId="1" fillId="2" borderId="30" xfId="0" applyFont="1" applyFill="1" applyBorder="1" applyAlignment="1">
      <alignment horizontal="center"/>
    </xf>
    <xf numFmtId="0" fontId="7" fillId="2" borderId="29" xfId="0" applyFont="1" applyFill="1" applyBorder="1"/>
    <xf numFmtId="0" fontId="15" fillId="2" borderId="29" xfId="0" applyFont="1" applyFill="1" applyBorder="1" applyAlignment="1">
      <alignment horizontal="left"/>
    </xf>
    <xf numFmtId="0" fontId="5" fillId="2" borderId="29" xfId="0" applyFont="1" applyFill="1" applyBorder="1"/>
    <xf numFmtId="0" fontId="1" fillId="2" borderId="29" xfId="0" applyFont="1" applyFill="1" applyBorder="1"/>
    <xf numFmtId="0" fontId="15" fillId="2" borderId="31" xfId="0" applyFont="1" applyFill="1" applyBorder="1"/>
    <xf numFmtId="0" fontId="1" fillId="2" borderId="32" xfId="0" applyFont="1" applyFill="1" applyBorder="1" applyAlignment="1">
      <alignment horizontal="center"/>
    </xf>
    <xf numFmtId="0" fontId="31" fillId="2" borderId="32" xfId="0" applyFont="1" applyFill="1" applyBorder="1" applyAlignment="1">
      <alignment horizontal="center"/>
    </xf>
    <xf numFmtId="0" fontId="34" fillId="2" borderId="32" xfId="0" applyFont="1" applyFill="1" applyBorder="1" applyAlignment="1">
      <alignment horizontal="center"/>
    </xf>
    <xf numFmtId="0" fontId="38" fillId="2" borderId="8" xfId="0" applyFont="1" applyFill="1" applyBorder="1" applyAlignment="1">
      <alignment horizontal="center"/>
    </xf>
    <xf numFmtId="0" fontId="39" fillId="0" borderId="0" xfId="0" applyFont="1"/>
    <xf numFmtId="0" fontId="40" fillId="0" borderId="0" xfId="0" applyFont="1"/>
    <xf numFmtId="0" fontId="43" fillId="0" borderId="0" xfId="0" applyFont="1"/>
    <xf numFmtId="0" fontId="42" fillId="9" borderId="33" xfId="0" applyFont="1" applyFill="1" applyBorder="1" applyAlignment="1">
      <alignment horizontal="left" wrapText="1" readingOrder="1"/>
    </xf>
    <xf numFmtId="0" fontId="42" fillId="9" borderId="33" xfId="0" applyFont="1" applyFill="1" applyBorder="1" applyAlignment="1">
      <alignment horizontal="center" wrapText="1" readingOrder="1"/>
    </xf>
    <xf numFmtId="0" fontId="41" fillId="0" borderId="0" xfId="0" applyFont="1"/>
    <xf numFmtId="2" fontId="0" fillId="0" borderId="0" xfId="0" applyNumberForma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0" fontId="8" fillId="0" borderId="0" xfId="0" applyFont="1"/>
    <xf numFmtId="0" fontId="7" fillId="0" borderId="0" xfId="0" applyFont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548217</xdr:colOff>
      <xdr:row>12</xdr:row>
      <xdr:rowOff>172508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654800" y="258550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548217</xdr:colOff>
      <xdr:row>22</xdr:row>
      <xdr:rowOff>172508</xdr:rowOff>
    </xdr:from>
    <xdr:ext cx="65" cy="17222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8063442" y="257280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0"/>
  <sheetViews>
    <sheetView zoomScale="145" zoomScaleNormal="145" workbookViewId="0">
      <selection activeCell="B7" sqref="B7"/>
    </sheetView>
  </sheetViews>
  <sheetFormatPr baseColWidth="10" defaultRowHeight="15" x14ac:dyDescent="0.25"/>
  <cols>
    <col min="1" max="1" width="13.28515625" customWidth="1"/>
    <col min="2" max="2" width="9.28515625" customWidth="1"/>
    <col min="3" max="3" width="17" customWidth="1"/>
    <col min="4" max="4" width="16.42578125" customWidth="1"/>
    <col min="5" max="5" width="20.140625" customWidth="1"/>
    <col min="6" max="6" width="20.28515625" customWidth="1"/>
    <col min="7" max="7" width="20.42578125" customWidth="1"/>
    <col min="8" max="8" width="10.28515625" customWidth="1"/>
    <col min="10" max="10" width="11.42578125" style="20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4" t="s">
        <v>8</v>
      </c>
      <c r="J1" s="56" t="s">
        <v>334</v>
      </c>
    </row>
    <row r="2" spans="1:10" x14ac:dyDescent="0.25">
      <c r="A2" s="2" t="s">
        <v>9</v>
      </c>
      <c r="B2" s="3" t="s">
        <v>10</v>
      </c>
      <c r="C2" s="3" t="s">
        <v>11</v>
      </c>
      <c r="D2" s="9" t="s">
        <v>332</v>
      </c>
      <c r="E2" s="3"/>
      <c r="F2" s="4"/>
      <c r="G2" s="3" t="s">
        <v>414</v>
      </c>
      <c r="H2" s="5">
        <v>1</v>
      </c>
      <c r="I2" s="55" t="s">
        <v>13</v>
      </c>
      <c r="J2" s="20">
        <v>1</v>
      </c>
    </row>
    <row r="3" spans="1:10" x14ac:dyDescent="0.25">
      <c r="A3" s="2" t="s">
        <v>14</v>
      </c>
      <c r="B3" s="3" t="s">
        <v>15</v>
      </c>
      <c r="C3" s="3" t="s">
        <v>11</v>
      </c>
      <c r="D3" s="9" t="s">
        <v>332</v>
      </c>
      <c r="E3" s="3"/>
      <c r="F3" s="4"/>
      <c r="G3" s="3" t="s">
        <v>415</v>
      </c>
      <c r="H3" s="5">
        <v>1</v>
      </c>
      <c r="I3" s="55" t="s">
        <v>16</v>
      </c>
      <c r="J3" s="20">
        <v>3</v>
      </c>
    </row>
    <row r="4" spans="1:10" x14ac:dyDescent="0.25">
      <c r="A4" s="6" t="s">
        <v>17</v>
      </c>
      <c r="B4" s="3" t="s">
        <v>15</v>
      </c>
      <c r="C4" s="3" t="s">
        <v>11</v>
      </c>
      <c r="D4" s="9" t="s">
        <v>332</v>
      </c>
      <c r="E4" s="3"/>
      <c r="F4" s="4"/>
      <c r="G4" s="3" t="s">
        <v>415</v>
      </c>
      <c r="H4" s="5">
        <v>1</v>
      </c>
      <c r="I4" s="55" t="s">
        <v>13</v>
      </c>
      <c r="J4" s="20">
        <v>4</v>
      </c>
    </row>
    <row r="5" spans="1:10" x14ac:dyDescent="0.25">
      <c r="A5" s="2">
        <v>1215</v>
      </c>
      <c r="B5" s="3" t="s">
        <v>10</v>
      </c>
      <c r="C5" s="3" t="s">
        <v>11</v>
      </c>
      <c r="D5" s="9" t="s">
        <v>332</v>
      </c>
      <c r="E5" s="3"/>
      <c r="F5" s="4"/>
      <c r="G5" s="3" t="s">
        <v>415</v>
      </c>
      <c r="H5" s="5">
        <v>1</v>
      </c>
      <c r="I5" s="55" t="s">
        <v>16</v>
      </c>
      <c r="J5" s="20">
        <v>5</v>
      </c>
    </row>
    <row r="6" spans="1:10" x14ac:dyDescent="0.25">
      <c r="A6" s="6" t="s">
        <v>247</v>
      </c>
      <c r="B6" s="3" t="s">
        <v>10</v>
      </c>
      <c r="C6" s="3" t="s">
        <v>11</v>
      </c>
      <c r="D6" s="9" t="s">
        <v>332</v>
      </c>
      <c r="E6" s="3"/>
      <c r="F6" s="4"/>
      <c r="G6" s="3" t="s">
        <v>414</v>
      </c>
      <c r="H6" s="5">
        <v>1</v>
      </c>
      <c r="I6" s="55" t="s">
        <v>16</v>
      </c>
      <c r="J6" s="20">
        <v>6</v>
      </c>
    </row>
    <row r="7" spans="1:10" x14ac:dyDescent="0.25">
      <c r="A7" s="2">
        <v>1678</v>
      </c>
      <c r="B7" s="3" t="s">
        <v>15</v>
      </c>
      <c r="C7" s="3" t="s">
        <v>11</v>
      </c>
      <c r="D7" s="3" t="s">
        <v>18</v>
      </c>
      <c r="E7" s="3" t="s">
        <v>19</v>
      </c>
      <c r="F7" s="3" t="s">
        <v>20</v>
      </c>
      <c r="G7" s="7" t="s">
        <v>311</v>
      </c>
      <c r="H7" s="8">
        <v>1</v>
      </c>
      <c r="I7" s="55" t="s">
        <v>13</v>
      </c>
      <c r="J7" s="20">
        <v>6</v>
      </c>
    </row>
    <row r="8" spans="1:10" x14ac:dyDescent="0.25">
      <c r="A8" s="2" t="s">
        <v>21</v>
      </c>
      <c r="B8" s="3" t="s">
        <v>15</v>
      </c>
      <c r="C8" s="3" t="s">
        <v>11</v>
      </c>
      <c r="D8" s="3" t="s">
        <v>18</v>
      </c>
      <c r="E8" s="3" t="s">
        <v>19</v>
      </c>
      <c r="F8" s="3" t="s">
        <v>20</v>
      </c>
      <c r="G8" s="3" t="s">
        <v>397</v>
      </c>
      <c r="H8" s="8">
        <v>1</v>
      </c>
      <c r="I8" s="55" t="s">
        <v>13</v>
      </c>
      <c r="J8" s="20">
        <v>5</v>
      </c>
    </row>
    <row r="9" spans="1:10" x14ac:dyDescent="0.25">
      <c r="A9" s="2" t="s">
        <v>172</v>
      </c>
      <c r="B9" s="3" t="s">
        <v>15</v>
      </c>
      <c r="C9" s="3" t="s">
        <v>11</v>
      </c>
      <c r="D9" s="3" t="s">
        <v>18</v>
      </c>
      <c r="E9" s="3" t="s">
        <v>19</v>
      </c>
      <c r="F9" s="3" t="s">
        <v>20</v>
      </c>
      <c r="G9" s="3" t="s">
        <v>398</v>
      </c>
      <c r="H9" s="8">
        <v>1</v>
      </c>
      <c r="I9" s="55" t="s">
        <v>16</v>
      </c>
      <c r="J9" s="20">
        <v>5</v>
      </c>
    </row>
    <row r="10" spans="1:10" x14ac:dyDescent="0.25">
      <c r="A10" s="2" t="s">
        <v>22</v>
      </c>
      <c r="B10" s="3" t="s">
        <v>15</v>
      </c>
      <c r="C10" s="3" t="s">
        <v>11</v>
      </c>
      <c r="D10" s="3" t="s">
        <v>18</v>
      </c>
      <c r="E10" s="3" t="s">
        <v>23</v>
      </c>
      <c r="F10" s="2" t="s">
        <v>24</v>
      </c>
      <c r="G10" s="3" t="s">
        <v>399</v>
      </c>
      <c r="H10" s="8">
        <v>1</v>
      </c>
      <c r="I10" s="55" t="s">
        <v>16</v>
      </c>
      <c r="J10" s="20">
        <v>3</v>
      </c>
    </row>
    <row r="11" spans="1:10" x14ac:dyDescent="0.25">
      <c r="A11" s="2" t="s">
        <v>189</v>
      </c>
      <c r="B11" s="3" t="s">
        <v>10</v>
      </c>
      <c r="C11" s="3" t="s">
        <v>11</v>
      </c>
      <c r="D11" s="3" t="s">
        <v>18</v>
      </c>
      <c r="E11" s="3" t="s">
        <v>23</v>
      </c>
      <c r="F11" s="2" t="s">
        <v>24</v>
      </c>
      <c r="G11" s="3" t="s">
        <v>400</v>
      </c>
      <c r="H11" s="8">
        <v>2</v>
      </c>
      <c r="I11" s="55" t="s">
        <v>16</v>
      </c>
      <c r="J11" s="20">
        <v>1</v>
      </c>
    </row>
    <row r="12" spans="1:10" x14ac:dyDescent="0.25">
      <c r="A12" s="2" t="s">
        <v>25</v>
      </c>
      <c r="B12" s="9" t="s">
        <v>10</v>
      </c>
      <c r="C12" s="9" t="s">
        <v>11</v>
      </c>
      <c r="D12" s="3" t="s">
        <v>18</v>
      </c>
      <c r="E12" s="3" t="s">
        <v>23</v>
      </c>
      <c r="F12" s="2" t="s">
        <v>24</v>
      </c>
      <c r="G12" s="3" t="s">
        <v>400</v>
      </c>
      <c r="H12" s="8">
        <v>1</v>
      </c>
      <c r="I12" s="55" t="s">
        <v>13</v>
      </c>
      <c r="J12" s="20">
        <v>1</v>
      </c>
    </row>
    <row r="13" spans="1:10" x14ac:dyDescent="0.25">
      <c r="A13" s="2" t="s">
        <v>26</v>
      </c>
      <c r="B13" s="3" t="s">
        <v>10</v>
      </c>
      <c r="C13" s="3" t="s">
        <v>11</v>
      </c>
      <c r="D13" s="3" t="s">
        <v>18</v>
      </c>
      <c r="E13" s="3" t="s">
        <v>23</v>
      </c>
      <c r="F13" s="2" t="s">
        <v>24</v>
      </c>
      <c r="G13" s="3" t="s">
        <v>400</v>
      </c>
      <c r="H13" s="8">
        <v>2</v>
      </c>
      <c r="I13" s="55" t="s">
        <v>13</v>
      </c>
      <c r="J13" s="20">
        <v>1</v>
      </c>
    </row>
    <row r="14" spans="1:10" x14ac:dyDescent="0.25">
      <c r="A14" s="2" t="s">
        <v>83</v>
      </c>
      <c r="B14" s="3" t="s">
        <v>15</v>
      </c>
      <c r="C14" s="3" t="s">
        <v>11</v>
      </c>
      <c r="D14" s="3" t="s">
        <v>18</v>
      </c>
      <c r="E14" s="3" t="s">
        <v>248</v>
      </c>
      <c r="F14" s="2" t="s">
        <v>249</v>
      </c>
      <c r="G14" s="3" t="s">
        <v>250</v>
      </c>
      <c r="H14" s="8">
        <v>1</v>
      </c>
      <c r="I14" s="55" t="s">
        <v>16</v>
      </c>
      <c r="J14" s="20">
        <v>1</v>
      </c>
    </row>
    <row r="15" spans="1:10" x14ac:dyDescent="0.25">
      <c r="A15" s="2" t="s">
        <v>27</v>
      </c>
      <c r="B15" s="3" t="s">
        <v>15</v>
      </c>
      <c r="C15" s="3" t="s">
        <v>11</v>
      </c>
      <c r="D15" s="3" t="s">
        <v>18</v>
      </c>
      <c r="E15" s="3" t="s">
        <v>28</v>
      </c>
      <c r="F15" s="3" t="s">
        <v>29</v>
      </c>
      <c r="G15" s="3" t="s">
        <v>30</v>
      </c>
      <c r="H15" s="8">
        <v>1</v>
      </c>
      <c r="I15" s="55" t="s">
        <v>16</v>
      </c>
      <c r="J15" s="20">
        <v>1</v>
      </c>
    </row>
    <row r="16" spans="1:10" x14ac:dyDescent="0.25">
      <c r="A16" s="2" t="s">
        <v>31</v>
      </c>
      <c r="B16" s="3" t="s">
        <v>15</v>
      </c>
      <c r="C16" s="3" t="s">
        <v>11</v>
      </c>
      <c r="D16" s="3" t="s">
        <v>18</v>
      </c>
      <c r="E16" s="3" t="s">
        <v>28</v>
      </c>
      <c r="F16" s="3" t="s">
        <v>29</v>
      </c>
      <c r="G16" s="2" t="s">
        <v>30</v>
      </c>
      <c r="H16" s="8">
        <v>1</v>
      </c>
      <c r="I16" s="55" t="s">
        <v>13</v>
      </c>
      <c r="J16" s="20">
        <v>3</v>
      </c>
    </row>
    <row r="17" spans="1:10" x14ac:dyDescent="0.25">
      <c r="A17" s="2" t="s">
        <v>103</v>
      </c>
      <c r="B17" s="3" t="s">
        <v>15</v>
      </c>
      <c r="C17" s="3" t="s">
        <v>11</v>
      </c>
      <c r="D17" s="3" t="s">
        <v>18</v>
      </c>
      <c r="E17" s="3" t="s">
        <v>28</v>
      </c>
      <c r="F17" s="3" t="s">
        <v>251</v>
      </c>
      <c r="G17" s="3" t="s">
        <v>252</v>
      </c>
      <c r="H17" s="8">
        <v>1</v>
      </c>
      <c r="I17" s="55" t="s">
        <v>16</v>
      </c>
      <c r="J17" s="20">
        <v>1</v>
      </c>
    </row>
    <row r="18" spans="1:10" x14ac:dyDescent="0.25">
      <c r="A18" s="2" t="s">
        <v>32</v>
      </c>
      <c r="B18" s="3" t="s">
        <v>10</v>
      </c>
      <c r="C18" s="3" t="s">
        <v>11</v>
      </c>
      <c r="D18" s="3" t="s">
        <v>18</v>
      </c>
      <c r="E18" s="3" t="s">
        <v>33</v>
      </c>
      <c r="F18" s="3" t="s">
        <v>34</v>
      </c>
      <c r="G18" s="3" t="s">
        <v>35</v>
      </c>
      <c r="H18" s="8">
        <v>1</v>
      </c>
      <c r="I18" s="55" t="s">
        <v>16</v>
      </c>
      <c r="J18" s="20">
        <v>2</v>
      </c>
    </row>
    <row r="19" spans="1:10" ht="15" customHeight="1" x14ac:dyDescent="0.25">
      <c r="A19" s="10" t="s">
        <v>344</v>
      </c>
      <c r="B19" s="3" t="s">
        <v>10</v>
      </c>
      <c r="C19" s="3" t="s">
        <v>11</v>
      </c>
      <c r="D19" s="3" t="s">
        <v>18</v>
      </c>
      <c r="E19" s="3" t="s">
        <v>33</v>
      </c>
      <c r="F19" s="3" t="s">
        <v>34</v>
      </c>
      <c r="G19" s="3" t="s">
        <v>35</v>
      </c>
      <c r="H19" s="8">
        <v>1</v>
      </c>
      <c r="I19" s="55" t="s">
        <v>16</v>
      </c>
      <c r="J19" s="20">
        <v>2</v>
      </c>
    </row>
    <row r="20" spans="1:10" x14ac:dyDescent="0.25">
      <c r="A20" s="2" t="s">
        <v>36</v>
      </c>
      <c r="B20" s="3" t="s">
        <v>10</v>
      </c>
      <c r="C20" s="3" t="s">
        <v>11</v>
      </c>
      <c r="D20" s="3" t="s">
        <v>18</v>
      </c>
      <c r="E20" s="3" t="s">
        <v>33</v>
      </c>
      <c r="F20" s="3" t="s">
        <v>34</v>
      </c>
      <c r="G20" s="3" t="s">
        <v>37</v>
      </c>
      <c r="H20" s="8">
        <v>1</v>
      </c>
      <c r="I20" s="55" t="s">
        <v>16</v>
      </c>
      <c r="J20" s="20">
        <v>6</v>
      </c>
    </row>
    <row r="21" spans="1:10" x14ac:dyDescent="0.25">
      <c r="A21" s="2" t="s">
        <v>253</v>
      </c>
      <c r="B21" s="3" t="s">
        <v>15</v>
      </c>
      <c r="C21" s="3" t="s">
        <v>11</v>
      </c>
      <c r="D21" s="3" t="s">
        <v>18</v>
      </c>
      <c r="E21" s="3" t="s">
        <v>33</v>
      </c>
      <c r="F21" s="3" t="s">
        <v>38</v>
      </c>
      <c r="G21" s="3" t="s">
        <v>41</v>
      </c>
      <c r="H21" s="8">
        <v>1</v>
      </c>
      <c r="I21" s="55" t="s">
        <v>16</v>
      </c>
      <c r="J21" s="20">
        <v>6</v>
      </c>
    </row>
    <row r="22" spans="1:10" ht="15" customHeight="1" x14ac:dyDescent="0.25">
      <c r="A22" s="10" t="s">
        <v>345</v>
      </c>
      <c r="B22" s="3" t="s">
        <v>15</v>
      </c>
      <c r="C22" s="3" t="s">
        <v>11</v>
      </c>
      <c r="D22" s="3" t="s">
        <v>18</v>
      </c>
      <c r="E22" s="3" t="s">
        <v>33</v>
      </c>
      <c r="F22" s="3" t="s">
        <v>38</v>
      </c>
      <c r="G22" s="3" t="s">
        <v>39</v>
      </c>
      <c r="H22" s="8">
        <v>1</v>
      </c>
      <c r="I22" s="55" t="s">
        <v>16</v>
      </c>
      <c r="J22" s="20">
        <v>2</v>
      </c>
    </row>
    <row r="23" spans="1:10" x14ac:dyDescent="0.25">
      <c r="A23" s="2">
        <v>1333</v>
      </c>
      <c r="B23" s="3" t="s">
        <v>15</v>
      </c>
      <c r="C23" s="3" t="s">
        <v>11</v>
      </c>
      <c r="D23" s="3" t="s">
        <v>18</v>
      </c>
      <c r="E23" s="3" t="s">
        <v>33</v>
      </c>
      <c r="F23" s="3" t="s">
        <v>38</v>
      </c>
      <c r="G23" s="3" t="s">
        <v>39</v>
      </c>
      <c r="H23" s="8">
        <v>1</v>
      </c>
      <c r="I23" s="55" t="s">
        <v>13</v>
      </c>
      <c r="J23" s="20">
        <v>5</v>
      </c>
    </row>
    <row r="24" spans="1:10" x14ac:dyDescent="0.25">
      <c r="A24" s="2" t="s">
        <v>40</v>
      </c>
      <c r="B24" s="3" t="s">
        <v>15</v>
      </c>
      <c r="C24" s="3" t="s">
        <v>11</v>
      </c>
      <c r="D24" s="3" t="s">
        <v>18</v>
      </c>
      <c r="E24" s="3" t="s">
        <v>33</v>
      </c>
      <c r="F24" s="3" t="s">
        <v>38</v>
      </c>
      <c r="G24" s="3" t="s">
        <v>41</v>
      </c>
      <c r="H24" s="8">
        <v>1</v>
      </c>
      <c r="I24" s="55" t="s">
        <v>13</v>
      </c>
      <c r="J24" s="20">
        <v>4</v>
      </c>
    </row>
    <row r="25" spans="1:10" x14ac:dyDescent="0.25">
      <c r="A25" s="2">
        <v>1333</v>
      </c>
      <c r="B25" s="3" t="s">
        <v>15</v>
      </c>
      <c r="C25" s="3" t="s">
        <v>11</v>
      </c>
      <c r="D25" s="3" t="s">
        <v>18</v>
      </c>
      <c r="E25" s="3" t="s">
        <v>33</v>
      </c>
      <c r="F25" s="3" t="s">
        <v>38</v>
      </c>
      <c r="G25" s="3" t="s">
        <v>42</v>
      </c>
      <c r="H25" s="8">
        <v>1</v>
      </c>
      <c r="I25" s="55" t="s">
        <v>13</v>
      </c>
      <c r="J25" s="20">
        <v>5</v>
      </c>
    </row>
    <row r="26" spans="1:10" x14ac:dyDescent="0.25">
      <c r="A26" s="2" t="s">
        <v>206</v>
      </c>
      <c r="B26" s="3" t="s">
        <v>15</v>
      </c>
      <c r="C26" s="3" t="s">
        <v>11</v>
      </c>
      <c r="D26" s="3" t="s">
        <v>18</v>
      </c>
      <c r="E26" s="2" t="s">
        <v>44</v>
      </c>
      <c r="F26" s="3" t="s">
        <v>445</v>
      </c>
      <c r="G26" s="3" t="s">
        <v>401</v>
      </c>
      <c r="H26" s="11">
        <v>2</v>
      </c>
      <c r="I26" s="55" t="s">
        <v>16</v>
      </c>
      <c r="J26" s="20">
        <v>1</v>
      </c>
    </row>
    <row r="27" spans="1:10" x14ac:dyDescent="0.25">
      <c r="A27" s="2" t="s">
        <v>43</v>
      </c>
      <c r="B27" s="3" t="s">
        <v>15</v>
      </c>
      <c r="C27" s="3" t="s">
        <v>11</v>
      </c>
      <c r="D27" s="3" t="s">
        <v>18</v>
      </c>
      <c r="E27" s="2" t="s">
        <v>44</v>
      </c>
      <c r="F27" s="3" t="s">
        <v>445</v>
      </c>
      <c r="G27" s="3" t="s">
        <v>401</v>
      </c>
      <c r="H27" s="8">
        <v>1</v>
      </c>
      <c r="I27" s="55" t="s">
        <v>16</v>
      </c>
      <c r="J27" s="20">
        <v>1</v>
      </c>
    </row>
    <row r="28" spans="1:10" x14ac:dyDescent="0.25">
      <c r="A28" s="2" t="s">
        <v>45</v>
      </c>
      <c r="B28" s="3" t="s">
        <v>10</v>
      </c>
      <c r="C28" s="3" t="s">
        <v>11</v>
      </c>
      <c r="D28" s="3" t="s">
        <v>18</v>
      </c>
      <c r="E28" s="2" t="s">
        <v>44</v>
      </c>
      <c r="F28" s="3" t="s">
        <v>445</v>
      </c>
      <c r="G28" s="3" t="s">
        <v>402</v>
      </c>
      <c r="H28" s="8">
        <v>1</v>
      </c>
      <c r="I28" s="55" t="s">
        <v>16</v>
      </c>
      <c r="J28" s="20">
        <v>1</v>
      </c>
    </row>
    <row r="29" spans="1:10" x14ac:dyDescent="0.25">
      <c r="A29" s="2" t="s">
        <v>46</v>
      </c>
      <c r="B29" s="3" t="s">
        <v>10</v>
      </c>
      <c r="C29" s="3" t="s">
        <v>11</v>
      </c>
      <c r="D29" s="3" t="s">
        <v>18</v>
      </c>
      <c r="E29" s="2" t="s">
        <v>44</v>
      </c>
      <c r="F29" s="3" t="s">
        <v>445</v>
      </c>
      <c r="G29" s="3" t="s">
        <v>402</v>
      </c>
      <c r="H29" s="8">
        <v>1</v>
      </c>
      <c r="I29" s="55" t="s">
        <v>16</v>
      </c>
      <c r="J29" s="20">
        <v>1</v>
      </c>
    </row>
    <row r="30" spans="1:10" ht="15" customHeight="1" x14ac:dyDescent="0.25">
      <c r="A30" s="10" t="s">
        <v>347</v>
      </c>
      <c r="B30" s="3" t="s">
        <v>15</v>
      </c>
      <c r="C30" s="3" t="s">
        <v>11</v>
      </c>
      <c r="D30" s="3" t="s">
        <v>18</v>
      </c>
      <c r="E30" s="2" t="s">
        <v>44</v>
      </c>
      <c r="F30" s="3" t="s">
        <v>445</v>
      </c>
      <c r="G30" s="3" t="s">
        <v>401</v>
      </c>
      <c r="H30" s="8">
        <v>1</v>
      </c>
      <c r="I30" s="55" t="s">
        <v>16</v>
      </c>
      <c r="J30" s="20">
        <v>2</v>
      </c>
    </row>
    <row r="31" spans="1:10" ht="15" customHeight="1" x14ac:dyDescent="0.25">
      <c r="A31" s="10" t="s">
        <v>346</v>
      </c>
      <c r="B31" s="3" t="s">
        <v>15</v>
      </c>
      <c r="C31" s="3" t="s">
        <v>11</v>
      </c>
      <c r="D31" s="3" t="s">
        <v>18</v>
      </c>
      <c r="E31" s="2" t="s">
        <v>44</v>
      </c>
      <c r="F31" s="3" t="s">
        <v>445</v>
      </c>
      <c r="G31" s="3" t="s">
        <v>402</v>
      </c>
      <c r="H31" s="8">
        <v>1</v>
      </c>
      <c r="I31" s="55" t="s">
        <v>13</v>
      </c>
      <c r="J31" s="20">
        <v>4</v>
      </c>
    </row>
    <row r="32" spans="1:10" x14ac:dyDescent="0.25">
      <c r="A32" s="2" t="s">
        <v>47</v>
      </c>
      <c r="B32" s="3" t="s">
        <v>15</v>
      </c>
      <c r="C32" s="3" t="s">
        <v>11</v>
      </c>
      <c r="D32" s="3" t="s">
        <v>18</v>
      </c>
      <c r="E32" s="2" t="s">
        <v>44</v>
      </c>
      <c r="F32" s="3" t="s">
        <v>445</v>
      </c>
      <c r="G32" s="3" t="s">
        <v>402</v>
      </c>
      <c r="H32" s="8">
        <v>11</v>
      </c>
      <c r="I32" s="55" t="s">
        <v>13</v>
      </c>
      <c r="J32" s="20">
        <v>4</v>
      </c>
    </row>
    <row r="33" spans="1:10" x14ac:dyDescent="0.25">
      <c r="A33" s="2" t="s">
        <v>48</v>
      </c>
      <c r="B33" s="3" t="s">
        <v>15</v>
      </c>
      <c r="C33" s="3" t="s">
        <v>11</v>
      </c>
      <c r="D33" s="3" t="s">
        <v>18</v>
      </c>
      <c r="E33" s="2" t="s">
        <v>44</v>
      </c>
      <c r="F33" s="3" t="s">
        <v>445</v>
      </c>
      <c r="G33" s="3" t="s">
        <v>401</v>
      </c>
      <c r="H33" s="8">
        <v>1</v>
      </c>
      <c r="I33" s="55" t="s">
        <v>13</v>
      </c>
      <c r="J33" s="20">
        <v>4</v>
      </c>
    </row>
    <row r="34" spans="1:10" x14ac:dyDescent="0.25">
      <c r="A34" s="2">
        <v>1137</v>
      </c>
      <c r="B34" s="3" t="s">
        <v>15</v>
      </c>
      <c r="C34" s="3" t="s">
        <v>11</v>
      </c>
      <c r="D34" s="3" t="s">
        <v>18</v>
      </c>
      <c r="E34" s="2" t="s">
        <v>44</v>
      </c>
      <c r="F34" s="3" t="s">
        <v>445</v>
      </c>
      <c r="G34" s="3" t="s">
        <v>401</v>
      </c>
      <c r="H34" s="8">
        <v>1</v>
      </c>
      <c r="I34" s="55" t="s">
        <v>16</v>
      </c>
      <c r="J34" s="20">
        <v>4</v>
      </c>
    </row>
    <row r="35" spans="1:10" x14ac:dyDescent="0.25">
      <c r="A35" s="2">
        <v>1470</v>
      </c>
      <c r="B35" s="3" t="s">
        <v>15</v>
      </c>
      <c r="C35" s="3" t="s">
        <v>11</v>
      </c>
      <c r="D35" s="3" t="s">
        <v>18</v>
      </c>
      <c r="E35" s="2" t="s">
        <v>44</v>
      </c>
      <c r="F35" s="3" t="s">
        <v>445</v>
      </c>
      <c r="G35" s="3" t="s">
        <v>401</v>
      </c>
      <c r="H35" s="8">
        <v>1</v>
      </c>
      <c r="I35" s="55" t="s">
        <v>16</v>
      </c>
      <c r="J35" s="20">
        <v>5</v>
      </c>
    </row>
    <row r="36" spans="1:10" x14ac:dyDescent="0.25">
      <c r="A36" s="2">
        <v>1476</v>
      </c>
      <c r="B36" s="3" t="s">
        <v>10</v>
      </c>
      <c r="C36" s="3" t="s">
        <v>11</v>
      </c>
      <c r="D36" s="3" t="s">
        <v>18</v>
      </c>
      <c r="E36" s="2" t="s">
        <v>44</v>
      </c>
      <c r="F36" s="3" t="s">
        <v>445</v>
      </c>
      <c r="G36" s="3" t="s">
        <v>402</v>
      </c>
      <c r="H36" s="8">
        <v>1</v>
      </c>
      <c r="I36" s="55" t="s">
        <v>13</v>
      </c>
      <c r="J36" s="20">
        <v>6</v>
      </c>
    </row>
    <row r="37" spans="1:10" x14ac:dyDescent="0.25">
      <c r="A37" s="2">
        <v>1727</v>
      </c>
      <c r="B37" s="3" t="s">
        <v>15</v>
      </c>
      <c r="C37" s="3" t="s">
        <v>11</v>
      </c>
      <c r="D37" s="3" t="s">
        <v>18</v>
      </c>
      <c r="E37" s="2" t="s">
        <v>44</v>
      </c>
      <c r="F37" s="3" t="s">
        <v>445</v>
      </c>
      <c r="G37" s="3" t="s">
        <v>401</v>
      </c>
      <c r="H37" s="8">
        <v>1</v>
      </c>
      <c r="I37" s="55" t="s">
        <v>16</v>
      </c>
      <c r="J37" s="20">
        <v>6</v>
      </c>
    </row>
    <row r="38" spans="1:10" x14ac:dyDescent="0.25">
      <c r="A38" s="2" t="s">
        <v>49</v>
      </c>
      <c r="B38" s="3" t="s">
        <v>15</v>
      </c>
      <c r="C38" s="3" t="s">
        <v>11</v>
      </c>
      <c r="D38" s="3" t="s">
        <v>18</v>
      </c>
      <c r="E38" s="2" t="s">
        <v>44</v>
      </c>
      <c r="F38" s="3" t="s">
        <v>445</v>
      </c>
      <c r="G38" s="3" t="s">
        <v>402</v>
      </c>
      <c r="H38" s="8">
        <v>1</v>
      </c>
      <c r="I38" s="55" t="s">
        <v>13</v>
      </c>
      <c r="J38" s="20">
        <v>6</v>
      </c>
    </row>
    <row r="39" spans="1:10" x14ac:dyDescent="0.25">
      <c r="A39" s="2" t="s">
        <v>50</v>
      </c>
      <c r="B39" s="3" t="s">
        <v>15</v>
      </c>
      <c r="C39" s="3" t="s">
        <v>11</v>
      </c>
      <c r="D39" s="3" t="s">
        <v>18</v>
      </c>
      <c r="E39" s="2" t="s">
        <v>44</v>
      </c>
      <c r="F39" s="3" t="s">
        <v>445</v>
      </c>
      <c r="G39" s="3" t="s">
        <v>403</v>
      </c>
      <c r="H39" s="8">
        <v>1</v>
      </c>
      <c r="I39" s="55" t="s">
        <v>13</v>
      </c>
      <c r="J39" s="20">
        <v>5</v>
      </c>
    </row>
    <row r="40" spans="1:10" x14ac:dyDescent="0.25">
      <c r="A40" s="2" t="s">
        <v>51</v>
      </c>
      <c r="B40" s="3" t="s">
        <v>15</v>
      </c>
      <c r="C40" s="3" t="s">
        <v>11</v>
      </c>
      <c r="D40" s="3" t="s">
        <v>18</v>
      </c>
      <c r="E40" s="2" t="s">
        <v>44</v>
      </c>
      <c r="F40" s="3" t="s">
        <v>445</v>
      </c>
      <c r="G40" s="3" t="s">
        <v>402</v>
      </c>
      <c r="H40" s="8">
        <v>3</v>
      </c>
      <c r="I40" s="55" t="s">
        <v>13</v>
      </c>
      <c r="J40" s="20">
        <v>6</v>
      </c>
    </row>
    <row r="41" spans="1:10" x14ac:dyDescent="0.25">
      <c r="A41" s="2" t="s">
        <v>254</v>
      </c>
      <c r="B41" s="3" t="s">
        <v>15</v>
      </c>
      <c r="C41" s="3" t="s">
        <v>11</v>
      </c>
      <c r="D41" s="3" t="s">
        <v>18</v>
      </c>
      <c r="E41" s="2" t="s">
        <v>44</v>
      </c>
      <c r="F41" s="3" t="s">
        <v>445</v>
      </c>
      <c r="G41" s="3" t="s">
        <v>401</v>
      </c>
      <c r="H41" s="8">
        <v>1</v>
      </c>
      <c r="I41" s="55" t="s">
        <v>16</v>
      </c>
      <c r="J41" s="20">
        <v>6</v>
      </c>
    </row>
    <row r="42" spans="1:10" x14ac:dyDescent="0.25">
      <c r="A42" s="2" t="s">
        <v>52</v>
      </c>
      <c r="B42" s="3" t="s">
        <v>15</v>
      </c>
      <c r="C42" s="3" t="s">
        <v>11</v>
      </c>
      <c r="D42" s="3" t="s">
        <v>18</v>
      </c>
      <c r="E42" s="2" t="s">
        <v>44</v>
      </c>
      <c r="F42" s="3" t="s">
        <v>445</v>
      </c>
      <c r="G42" s="3" t="s">
        <v>402</v>
      </c>
      <c r="H42" s="8">
        <v>1</v>
      </c>
      <c r="I42" s="55" t="s">
        <v>16</v>
      </c>
      <c r="J42" s="20">
        <v>6</v>
      </c>
    </row>
    <row r="43" spans="1:10" x14ac:dyDescent="0.25">
      <c r="A43" s="2" t="s">
        <v>53</v>
      </c>
      <c r="B43" s="3" t="s">
        <v>15</v>
      </c>
      <c r="C43" s="3" t="s">
        <v>11</v>
      </c>
      <c r="D43" s="3" t="s">
        <v>18</v>
      </c>
      <c r="E43" s="2" t="s">
        <v>44</v>
      </c>
      <c r="F43" s="3" t="s">
        <v>445</v>
      </c>
      <c r="G43" s="3" t="s">
        <v>401</v>
      </c>
      <c r="H43" s="8">
        <v>1</v>
      </c>
      <c r="I43" s="55" t="s">
        <v>16</v>
      </c>
      <c r="J43" s="20">
        <v>6</v>
      </c>
    </row>
    <row r="44" spans="1:10" x14ac:dyDescent="0.25">
      <c r="A44" s="2">
        <v>1793</v>
      </c>
      <c r="B44" s="3" t="s">
        <v>15</v>
      </c>
      <c r="C44" s="3" t="s">
        <v>11</v>
      </c>
      <c r="D44" s="3" t="s">
        <v>18</v>
      </c>
      <c r="E44" s="2" t="s">
        <v>44</v>
      </c>
      <c r="F44" s="3" t="s">
        <v>445</v>
      </c>
      <c r="G44" s="3" t="s">
        <v>401</v>
      </c>
      <c r="H44" s="8">
        <v>1</v>
      </c>
      <c r="I44" s="55" t="s">
        <v>16</v>
      </c>
      <c r="J44" s="20">
        <v>6</v>
      </c>
    </row>
    <row r="45" spans="1:10" x14ac:dyDescent="0.25">
      <c r="A45" s="2" t="s">
        <v>255</v>
      </c>
      <c r="B45" s="3" t="s">
        <v>10</v>
      </c>
      <c r="C45" s="3" t="s">
        <v>11</v>
      </c>
      <c r="D45" s="3" t="s">
        <v>18</v>
      </c>
      <c r="E45" s="2" t="s">
        <v>44</v>
      </c>
      <c r="F45" s="3" t="s">
        <v>445</v>
      </c>
      <c r="G45" s="3" t="s">
        <v>401</v>
      </c>
      <c r="H45" s="8">
        <v>1</v>
      </c>
      <c r="I45" s="55" t="s">
        <v>16</v>
      </c>
      <c r="J45" s="20">
        <v>6</v>
      </c>
    </row>
    <row r="46" spans="1:10" x14ac:dyDescent="0.25">
      <c r="A46" s="2" t="s">
        <v>54</v>
      </c>
      <c r="B46" s="3" t="s">
        <v>10</v>
      </c>
      <c r="C46" s="3" t="s">
        <v>11</v>
      </c>
      <c r="D46" s="3" t="s">
        <v>18</v>
      </c>
      <c r="E46" s="3" t="s">
        <v>55</v>
      </c>
      <c r="F46" s="3" t="s">
        <v>56</v>
      </c>
      <c r="G46" s="3" t="s">
        <v>57</v>
      </c>
      <c r="H46" s="8">
        <v>1</v>
      </c>
      <c r="I46" s="55" t="s">
        <v>13</v>
      </c>
      <c r="J46" s="20">
        <v>3</v>
      </c>
    </row>
    <row r="47" spans="1:10" x14ac:dyDescent="0.25">
      <c r="A47" s="2" t="s">
        <v>58</v>
      </c>
      <c r="B47" s="3" t="s">
        <v>10</v>
      </c>
      <c r="C47" s="3" t="s">
        <v>11</v>
      </c>
      <c r="D47" s="3" t="s">
        <v>18</v>
      </c>
      <c r="E47" s="3" t="s">
        <v>55</v>
      </c>
      <c r="F47" s="3" t="s">
        <v>56</v>
      </c>
      <c r="G47" s="3" t="s">
        <v>57</v>
      </c>
      <c r="H47" s="8">
        <v>1</v>
      </c>
      <c r="I47" s="55" t="s">
        <v>13</v>
      </c>
      <c r="J47" s="20">
        <v>4</v>
      </c>
    </row>
    <row r="48" spans="1:10" x14ac:dyDescent="0.25">
      <c r="A48" s="2">
        <v>1699</v>
      </c>
      <c r="B48" s="3" t="s">
        <v>15</v>
      </c>
      <c r="C48" s="3" t="s">
        <v>11</v>
      </c>
      <c r="D48" s="3" t="s">
        <v>18</v>
      </c>
      <c r="E48" s="3" t="s">
        <v>55</v>
      </c>
      <c r="F48" s="3" t="s">
        <v>56</v>
      </c>
      <c r="G48" s="2" t="s">
        <v>57</v>
      </c>
      <c r="H48" s="8">
        <v>1</v>
      </c>
      <c r="I48" s="55" t="s">
        <v>16</v>
      </c>
      <c r="J48" s="20">
        <v>6</v>
      </c>
    </row>
    <row r="49" spans="1:17" x14ac:dyDescent="0.25">
      <c r="A49" s="2" t="s">
        <v>59</v>
      </c>
      <c r="B49" s="3" t="s">
        <v>10</v>
      </c>
      <c r="C49" s="3" t="s">
        <v>11</v>
      </c>
      <c r="D49" s="3" t="s">
        <v>18</v>
      </c>
      <c r="E49" s="3" t="s">
        <v>55</v>
      </c>
      <c r="F49" s="3" t="s">
        <v>56</v>
      </c>
      <c r="G49" s="3" t="s">
        <v>404</v>
      </c>
      <c r="H49" s="11">
        <v>1</v>
      </c>
      <c r="I49" s="55" t="s">
        <v>16</v>
      </c>
      <c r="J49" s="20">
        <v>6</v>
      </c>
    </row>
    <row r="50" spans="1:17" x14ac:dyDescent="0.25">
      <c r="A50" s="2" t="s">
        <v>256</v>
      </c>
      <c r="B50" s="3" t="s">
        <v>15</v>
      </c>
      <c r="C50" s="3" t="s">
        <v>11</v>
      </c>
      <c r="D50" s="3" t="s">
        <v>18</v>
      </c>
      <c r="E50" s="3" t="s">
        <v>55</v>
      </c>
      <c r="F50" s="3" t="s">
        <v>56</v>
      </c>
      <c r="G50" s="3" t="s">
        <v>405</v>
      </c>
      <c r="H50" s="11">
        <v>1</v>
      </c>
      <c r="I50" s="55" t="s">
        <v>16</v>
      </c>
      <c r="J50" s="20">
        <v>2</v>
      </c>
    </row>
    <row r="51" spans="1:17" ht="15" customHeight="1" x14ac:dyDescent="0.25">
      <c r="A51" s="10" t="s">
        <v>348</v>
      </c>
      <c r="B51" s="3" t="s">
        <v>15</v>
      </c>
      <c r="C51" s="3" t="s">
        <v>11</v>
      </c>
      <c r="D51" s="3" t="s">
        <v>18</v>
      </c>
      <c r="E51" s="3" t="s">
        <v>60</v>
      </c>
      <c r="F51" s="2" t="s">
        <v>61</v>
      </c>
      <c r="G51" s="3" t="s">
        <v>62</v>
      </c>
      <c r="H51" s="8">
        <v>1</v>
      </c>
      <c r="I51" s="55" t="s">
        <v>16</v>
      </c>
      <c r="J51" s="20">
        <v>2</v>
      </c>
    </row>
    <row r="52" spans="1:17" x14ac:dyDescent="0.25">
      <c r="A52" s="2" t="s">
        <v>63</v>
      </c>
      <c r="B52" s="3" t="s">
        <v>15</v>
      </c>
      <c r="C52" s="3" t="s">
        <v>11</v>
      </c>
      <c r="D52" s="3" t="s">
        <v>18</v>
      </c>
      <c r="E52" s="3" t="s">
        <v>60</v>
      </c>
      <c r="F52" s="2" t="s">
        <v>61</v>
      </c>
      <c r="G52" s="2" t="s">
        <v>64</v>
      </c>
      <c r="H52" s="8">
        <v>1</v>
      </c>
      <c r="I52" s="55" t="s">
        <v>13</v>
      </c>
      <c r="J52" s="20">
        <v>6</v>
      </c>
    </row>
    <row r="53" spans="1:17" x14ac:dyDescent="0.25">
      <c r="A53" s="2" t="s">
        <v>65</v>
      </c>
      <c r="B53" s="3" t="s">
        <v>10</v>
      </c>
      <c r="C53" s="3" t="s">
        <v>11</v>
      </c>
      <c r="D53" s="3" t="s">
        <v>18</v>
      </c>
      <c r="E53" s="3" t="s">
        <v>60</v>
      </c>
      <c r="F53" s="2" t="s">
        <v>61</v>
      </c>
      <c r="G53" s="3" t="s">
        <v>66</v>
      </c>
      <c r="H53" s="8">
        <v>1</v>
      </c>
      <c r="I53" s="55" t="s">
        <v>13</v>
      </c>
      <c r="J53" s="20">
        <v>2</v>
      </c>
    </row>
    <row r="54" spans="1:17" x14ac:dyDescent="0.25">
      <c r="A54" s="2" t="s">
        <v>67</v>
      </c>
      <c r="B54" s="3" t="s">
        <v>15</v>
      </c>
      <c r="C54" s="3" t="s">
        <v>11</v>
      </c>
      <c r="D54" s="3" t="s">
        <v>18</v>
      </c>
      <c r="E54" s="3" t="s">
        <v>60</v>
      </c>
      <c r="F54" s="2" t="s">
        <v>61</v>
      </c>
      <c r="G54" s="3" t="s">
        <v>66</v>
      </c>
      <c r="H54" s="8">
        <v>1</v>
      </c>
      <c r="I54" s="55" t="s">
        <v>13</v>
      </c>
      <c r="J54" s="20">
        <v>2</v>
      </c>
    </row>
    <row r="55" spans="1:17" x14ac:dyDescent="0.25">
      <c r="A55" s="2" t="s">
        <v>68</v>
      </c>
      <c r="B55" s="3" t="s">
        <v>15</v>
      </c>
      <c r="C55" s="3" t="s">
        <v>11</v>
      </c>
      <c r="D55" s="3" t="s">
        <v>18</v>
      </c>
      <c r="E55" s="3" t="s">
        <v>60</v>
      </c>
      <c r="F55" s="2" t="s">
        <v>61</v>
      </c>
      <c r="G55" s="3" t="s">
        <v>66</v>
      </c>
      <c r="H55" s="8">
        <v>5</v>
      </c>
      <c r="I55" s="55" t="s">
        <v>13</v>
      </c>
      <c r="J55" s="20">
        <v>4</v>
      </c>
    </row>
    <row r="56" spans="1:17" x14ac:dyDescent="0.25">
      <c r="A56" s="2" t="s">
        <v>48</v>
      </c>
      <c r="B56" s="3" t="s">
        <v>15</v>
      </c>
      <c r="C56" s="3" t="s">
        <v>11</v>
      </c>
      <c r="D56" s="3" t="s">
        <v>18</v>
      </c>
      <c r="E56" s="3" t="s">
        <v>60</v>
      </c>
      <c r="F56" s="2" t="s">
        <v>61</v>
      </c>
      <c r="G56" s="3" t="s">
        <v>66</v>
      </c>
      <c r="H56" s="8">
        <v>2</v>
      </c>
      <c r="I56" s="55" t="s">
        <v>13</v>
      </c>
      <c r="J56" s="20">
        <v>4</v>
      </c>
    </row>
    <row r="57" spans="1:17" x14ac:dyDescent="0.25">
      <c r="A57" s="2">
        <v>1188</v>
      </c>
      <c r="B57" s="3" t="s">
        <v>10</v>
      </c>
      <c r="C57" s="3" t="s">
        <v>11</v>
      </c>
      <c r="D57" s="3" t="s">
        <v>18</v>
      </c>
      <c r="E57" s="3" t="s">
        <v>60</v>
      </c>
      <c r="F57" s="2" t="s">
        <v>61</v>
      </c>
      <c r="G57" s="3" t="s">
        <v>66</v>
      </c>
      <c r="H57" s="8">
        <v>1</v>
      </c>
      <c r="I57" s="55" t="s">
        <v>13</v>
      </c>
      <c r="J57" s="20">
        <v>5</v>
      </c>
    </row>
    <row r="58" spans="1:17" x14ac:dyDescent="0.25">
      <c r="A58" s="2" t="s">
        <v>69</v>
      </c>
      <c r="B58" s="3" t="s">
        <v>15</v>
      </c>
      <c r="C58" s="3" t="s">
        <v>11</v>
      </c>
      <c r="D58" s="3" t="s">
        <v>18</v>
      </c>
      <c r="E58" s="3" t="s">
        <v>60</v>
      </c>
      <c r="F58" s="2" t="s">
        <v>61</v>
      </c>
      <c r="G58" s="3" t="s">
        <v>66</v>
      </c>
      <c r="H58" s="8">
        <v>1</v>
      </c>
      <c r="I58" s="55" t="s">
        <v>13</v>
      </c>
      <c r="J58" s="20">
        <v>5</v>
      </c>
      <c r="Q58" t="s">
        <v>306</v>
      </c>
    </row>
    <row r="59" spans="1:17" x14ac:dyDescent="0.25">
      <c r="A59" s="2" t="s">
        <v>70</v>
      </c>
      <c r="B59" s="3" t="s">
        <v>10</v>
      </c>
      <c r="C59" s="3" t="s">
        <v>11</v>
      </c>
      <c r="D59" s="3" t="s">
        <v>18</v>
      </c>
      <c r="E59" s="3" t="s">
        <v>60</v>
      </c>
      <c r="F59" s="2" t="s">
        <v>61</v>
      </c>
      <c r="G59" s="3" t="s">
        <v>66</v>
      </c>
      <c r="H59" s="8">
        <v>1</v>
      </c>
      <c r="I59" s="55" t="s">
        <v>13</v>
      </c>
      <c r="J59" s="20">
        <v>6</v>
      </c>
    </row>
    <row r="60" spans="1:17" x14ac:dyDescent="0.25">
      <c r="A60" s="2" t="s">
        <v>71</v>
      </c>
      <c r="B60" s="3" t="s">
        <v>15</v>
      </c>
      <c r="C60" s="3" t="s">
        <v>11</v>
      </c>
      <c r="D60" s="3" t="s">
        <v>18</v>
      </c>
      <c r="E60" s="3" t="s">
        <v>60</v>
      </c>
      <c r="F60" s="2" t="s">
        <v>61</v>
      </c>
      <c r="G60" s="3" t="s">
        <v>66</v>
      </c>
      <c r="H60" s="8">
        <v>1</v>
      </c>
      <c r="I60" s="55" t="s">
        <v>13</v>
      </c>
      <c r="J60" s="20">
        <v>6</v>
      </c>
    </row>
    <row r="61" spans="1:17" x14ac:dyDescent="0.25">
      <c r="A61" s="2" t="s">
        <v>72</v>
      </c>
      <c r="B61" s="3" t="s">
        <v>10</v>
      </c>
      <c r="C61" s="3" t="s">
        <v>11</v>
      </c>
      <c r="D61" s="3" t="s">
        <v>18</v>
      </c>
      <c r="E61" s="3" t="s">
        <v>60</v>
      </c>
      <c r="F61" s="2" t="s">
        <v>61</v>
      </c>
      <c r="G61" s="3" t="s">
        <v>73</v>
      </c>
      <c r="H61" s="8">
        <v>2</v>
      </c>
      <c r="I61" s="55" t="s">
        <v>13</v>
      </c>
      <c r="J61" s="20">
        <v>6</v>
      </c>
    </row>
    <row r="62" spans="1:17" x14ac:dyDescent="0.25">
      <c r="A62" s="2" t="s">
        <v>51</v>
      </c>
      <c r="B62" s="3" t="s">
        <v>15</v>
      </c>
      <c r="C62" s="3" t="s">
        <v>11</v>
      </c>
      <c r="D62" s="3" t="s">
        <v>18</v>
      </c>
      <c r="E62" s="3" t="s">
        <v>60</v>
      </c>
      <c r="F62" s="2" t="s">
        <v>61</v>
      </c>
      <c r="G62" s="3" t="s">
        <v>74</v>
      </c>
      <c r="H62" s="8">
        <v>1</v>
      </c>
      <c r="I62" s="55" t="s">
        <v>13</v>
      </c>
      <c r="J62" s="20">
        <v>6</v>
      </c>
    </row>
    <row r="63" spans="1:17" x14ac:dyDescent="0.25">
      <c r="A63" s="2" t="s">
        <v>75</v>
      </c>
      <c r="B63" s="3" t="s">
        <v>15</v>
      </c>
      <c r="C63" s="3" t="s">
        <v>11</v>
      </c>
      <c r="D63" s="3" t="s">
        <v>18</v>
      </c>
      <c r="E63" s="3" t="s">
        <v>60</v>
      </c>
      <c r="F63" s="2" t="s">
        <v>61</v>
      </c>
      <c r="G63" s="3" t="s">
        <v>76</v>
      </c>
      <c r="H63" s="8">
        <v>1</v>
      </c>
      <c r="I63" s="55" t="s">
        <v>13</v>
      </c>
      <c r="J63" s="20">
        <v>4</v>
      </c>
    </row>
    <row r="64" spans="1:17" x14ac:dyDescent="0.25">
      <c r="A64" s="3" t="s">
        <v>77</v>
      </c>
      <c r="B64" s="3" t="s">
        <v>15</v>
      </c>
      <c r="C64" s="3" t="s">
        <v>11</v>
      </c>
      <c r="D64" s="3" t="s">
        <v>18</v>
      </c>
      <c r="E64" s="3" t="s">
        <v>60</v>
      </c>
      <c r="F64" s="2" t="s">
        <v>61</v>
      </c>
      <c r="G64" s="3" t="s">
        <v>66</v>
      </c>
      <c r="H64" s="13">
        <v>1</v>
      </c>
      <c r="I64" s="55" t="s">
        <v>13</v>
      </c>
      <c r="J64" s="20">
        <v>1</v>
      </c>
    </row>
    <row r="65" spans="1:11" x14ac:dyDescent="0.25">
      <c r="A65" s="2" t="s">
        <v>78</v>
      </c>
      <c r="B65" s="3" t="s">
        <v>15</v>
      </c>
      <c r="C65" s="3" t="s">
        <v>11</v>
      </c>
      <c r="D65" s="3" t="s">
        <v>18</v>
      </c>
      <c r="E65" s="3" t="s">
        <v>60</v>
      </c>
      <c r="F65" s="2" t="s">
        <v>61</v>
      </c>
      <c r="G65" s="3" t="s">
        <v>312</v>
      </c>
      <c r="H65" s="8">
        <v>1</v>
      </c>
      <c r="I65" s="55" t="s">
        <v>16</v>
      </c>
      <c r="J65" s="20">
        <v>3</v>
      </c>
    </row>
    <row r="66" spans="1:11" x14ac:dyDescent="0.25">
      <c r="A66" s="2" t="s">
        <v>47</v>
      </c>
      <c r="B66" s="3" t="s">
        <v>15</v>
      </c>
      <c r="C66" s="3" t="s">
        <v>11</v>
      </c>
      <c r="D66" s="3" t="s">
        <v>18</v>
      </c>
      <c r="E66" s="3" t="s">
        <v>60</v>
      </c>
      <c r="F66" s="2" t="s">
        <v>61</v>
      </c>
      <c r="G66" s="3" t="s">
        <v>312</v>
      </c>
      <c r="H66" s="8">
        <v>1</v>
      </c>
      <c r="I66" s="55" t="s">
        <v>13</v>
      </c>
      <c r="J66" s="20">
        <v>4</v>
      </c>
    </row>
    <row r="67" spans="1:11" x14ac:dyDescent="0.25">
      <c r="A67" s="2" t="s">
        <v>301</v>
      </c>
      <c r="B67" s="3" t="s">
        <v>15</v>
      </c>
      <c r="C67" s="3" t="s">
        <v>11</v>
      </c>
      <c r="D67" s="3" t="s">
        <v>18</v>
      </c>
      <c r="E67" s="22" t="s">
        <v>304</v>
      </c>
      <c r="F67" s="3" t="s">
        <v>305</v>
      </c>
      <c r="G67" s="3" t="s">
        <v>303</v>
      </c>
      <c r="H67" s="8">
        <v>1</v>
      </c>
      <c r="I67" s="55" t="s">
        <v>13</v>
      </c>
      <c r="J67" s="20">
        <v>4</v>
      </c>
      <c r="K67" s="23"/>
    </row>
    <row r="68" spans="1:11" x14ac:dyDescent="0.25">
      <c r="A68" s="3" t="s">
        <v>79</v>
      </c>
      <c r="B68" s="3" t="s">
        <v>15</v>
      </c>
      <c r="C68" s="3" t="s">
        <v>11</v>
      </c>
      <c r="D68" s="3" t="s">
        <v>18</v>
      </c>
      <c r="E68" s="3" t="s">
        <v>80</v>
      </c>
      <c r="F68" s="3" t="s">
        <v>81</v>
      </c>
      <c r="G68" s="3" t="s">
        <v>406</v>
      </c>
      <c r="H68" s="8">
        <v>3</v>
      </c>
      <c r="I68" s="55" t="s">
        <v>13</v>
      </c>
      <c r="J68" s="20">
        <v>1</v>
      </c>
    </row>
    <row r="69" spans="1:11" x14ac:dyDescent="0.25">
      <c r="A69" s="2" t="s">
        <v>82</v>
      </c>
      <c r="B69" s="3" t="s">
        <v>15</v>
      </c>
      <c r="C69" s="3" t="s">
        <v>11</v>
      </c>
      <c r="D69" s="3" t="s">
        <v>18</v>
      </c>
      <c r="E69" s="3" t="s">
        <v>80</v>
      </c>
      <c r="F69" s="3" t="s">
        <v>81</v>
      </c>
      <c r="G69" s="3" t="s">
        <v>406</v>
      </c>
      <c r="H69" s="8">
        <v>1</v>
      </c>
      <c r="I69" s="55" t="s">
        <v>16</v>
      </c>
      <c r="J69" s="20">
        <v>1</v>
      </c>
    </row>
    <row r="70" spans="1:11" x14ac:dyDescent="0.25">
      <c r="A70" s="2" t="s">
        <v>83</v>
      </c>
      <c r="B70" s="3" t="s">
        <v>15</v>
      </c>
      <c r="C70" s="3" t="s">
        <v>11</v>
      </c>
      <c r="D70" s="3" t="s">
        <v>18</v>
      </c>
      <c r="E70" s="3" t="s">
        <v>80</v>
      </c>
      <c r="F70" s="3" t="s">
        <v>81</v>
      </c>
      <c r="G70" s="3" t="s">
        <v>406</v>
      </c>
      <c r="H70" s="8">
        <v>2</v>
      </c>
      <c r="I70" s="55" t="s">
        <v>16</v>
      </c>
      <c r="J70" s="20">
        <v>1</v>
      </c>
    </row>
    <row r="71" spans="1:11" x14ac:dyDescent="0.25">
      <c r="A71" s="2" t="s">
        <v>257</v>
      </c>
      <c r="B71" s="3" t="s">
        <v>15</v>
      </c>
      <c r="C71" s="3" t="s">
        <v>11</v>
      </c>
      <c r="D71" s="3" t="s">
        <v>18</v>
      </c>
      <c r="E71" s="3" t="s">
        <v>80</v>
      </c>
      <c r="F71" s="3" t="s">
        <v>81</v>
      </c>
      <c r="G71" s="3" t="s">
        <v>406</v>
      </c>
      <c r="H71" s="8">
        <v>1</v>
      </c>
      <c r="I71" s="55" t="s">
        <v>16</v>
      </c>
      <c r="J71" s="20">
        <v>1</v>
      </c>
    </row>
    <row r="72" spans="1:11" x14ac:dyDescent="0.25">
      <c r="A72" s="2" t="s">
        <v>26</v>
      </c>
      <c r="B72" s="3" t="s">
        <v>10</v>
      </c>
      <c r="C72" s="3" t="s">
        <v>11</v>
      </c>
      <c r="D72" s="3" t="s">
        <v>18</v>
      </c>
      <c r="E72" s="3" t="s">
        <v>80</v>
      </c>
      <c r="F72" s="3" t="s">
        <v>81</v>
      </c>
      <c r="G72" s="3" t="s">
        <v>406</v>
      </c>
      <c r="H72" s="8">
        <v>1</v>
      </c>
      <c r="I72" s="55" t="s">
        <v>13</v>
      </c>
      <c r="J72" s="20">
        <v>1</v>
      </c>
    </row>
    <row r="73" spans="1:11" x14ac:dyDescent="0.25">
      <c r="A73" s="2" t="s">
        <v>84</v>
      </c>
      <c r="B73" s="3" t="s">
        <v>10</v>
      </c>
      <c r="C73" s="3" t="s">
        <v>11</v>
      </c>
      <c r="D73" s="3" t="s">
        <v>18</v>
      </c>
      <c r="E73" s="3" t="s">
        <v>80</v>
      </c>
      <c r="F73" s="3" t="s">
        <v>81</v>
      </c>
      <c r="G73" s="3" t="s">
        <v>406</v>
      </c>
      <c r="H73" s="8">
        <v>1</v>
      </c>
      <c r="I73" s="55" t="s">
        <v>16</v>
      </c>
      <c r="J73" s="20">
        <v>1</v>
      </c>
    </row>
    <row r="74" spans="1:11" x14ac:dyDescent="0.25">
      <c r="A74" s="2" t="s">
        <v>258</v>
      </c>
      <c r="B74" s="3" t="s">
        <v>10</v>
      </c>
      <c r="C74" s="3" t="s">
        <v>11</v>
      </c>
      <c r="D74" s="3" t="s">
        <v>18</v>
      </c>
      <c r="E74" s="3" t="s">
        <v>80</v>
      </c>
      <c r="F74" s="3" t="s">
        <v>81</v>
      </c>
      <c r="G74" s="3" t="s">
        <v>406</v>
      </c>
      <c r="H74" s="8">
        <v>2</v>
      </c>
      <c r="I74" s="55" t="s">
        <v>13</v>
      </c>
      <c r="J74" s="20">
        <v>1</v>
      </c>
    </row>
    <row r="75" spans="1:11" x14ac:dyDescent="0.25">
      <c r="A75" s="2" t="s">
        <v>85</v>
      </c>
      <c r="B75" s="3" t="s">
        <v>10</v>
      </c>
      <c r="C75" s="3" t="s">
        <v>11</v>
      </c>
      <c r="D75" s="3" t="s">
        <v>18</v>
      </c>
      <c r="E75" s="3" t="s">
        <v>80</v>
      </c>
      <c r="F75" s="3" t="s">
        <v>81</v>
      </c>
      <c r="G75" s="3" t="s">
        <v>406</v>
      </c>
      <c r="H75" s="8">
        <v>2</v>
      </c>
      <c r="I75" s="55" t="s">
        <v>16</v>
      </c>
      <c r="J75" s="20">
        <v>2</v>
      </c>
    </row>
    <row r="76" spans="1:11" x14ac:dyDescent="0.25">
      <c r="A76" s="2" t="s">
        <v>86</v>
      </c>
      <c r="B76" s="3" t="s">
        <v>10</v>
      </c>
      <c r="C76" s="3" t="s">
        <v>11</v>
      </c>
      <c r="D76" s="3" t="s">
        <v>18</v>
      </c>
      <c r="E76" s="3" t="s">
        <v>80</v>
      </c>
      <c r="F76" s="3" t="s">
        <v>81</v>
      </c>
      <c r="G76" s="3" t="s">
        <v>406</v>
      </c>
      <c r="H76" s="8">
        <v>1</v>
      </c>
      <c r="I76" s="55" t="s">
        <v>16</v>
      </c>
      <c r="J76" s="20">
        <v>2</v>
      </c>
    </row>
    <row r="77" spans="1:11" x14ac:dyDescent="0.25">
      <c r="A77" s="2" t="s">
        <v>87</v>
      </c>
      <c r="B77" s="3" t="s">
        <v>10</v>
      </c>
      <c r="C77" s="3" t="s">
        <v>11</v>
      </c>
      <c r="D77" s="3" t="s">
        <v>18</v>
      </c>
      <c r="E77" s="3" t="s">
        <v>80</v>
      </c>
      <c r="F77" s="3" t="s">
        <v>81</v>
      </c>
      <c r="G77" s="3" t="s">
        <v>406</v>
      </c>
      <c r="H77" s="8">
        <v>1</v>
      </c>
      <c r="I77" s="55" t="s">
        <v>16</v>
      </c>
      <c r="J77" s="20">
        <v>2</v>
      </c>
    </row>
    <row r="78" spans="1:11" ht="15" customHeight="1" x14ac:dyDescent="0.25">
      <c r="A78" s="2" t="s">
        <v>294</v>
      </c>
      <c r="B78" s="3" t="s">
        <v>15</v>
      </c>
      <c r="C78" s="3" t="s">
        <v>11</v>
      </c>
      <c r="D78" s="3" t="s">
        <v>18</v>
      </c>
      <c r="E78" s="3" t="s">
        <v>80</v>
      </c>
      <c r="F78" s="3" t="s">
        <v>81</v>
      </c>
      <c r="G78" s="3" t="s">
        <v>406</v>
      </c>
      <c r="H78" s="8">
        <v>1</v>
      </c>
      <c r="I78" s="55" t="s">
        <v>13</v>
      </c>
      <c r="J78" s="20">
        <v>2</v>
      </c>
    </row>
    <row r="79" spans="1:11" ht="15.75" customHeight="1" x14ac:dyDescent="0.25">
      <c r="A79" s="10" t="s">
        <v>88</v>
      </c>
      <c r="B79" s="3" t="s">
        <v>15</v>
      </c>
      <c r="C79" s="3" t="s">
        <v>11</v>
      </c>
      <c r="D79" s="3" t="s">
        <v>18</v>
      </c>
      <c r="E79" s="3" t="s">
        <v>80</v>
      </c>
      <c r="F79" s="3" t="s">
        <v>81</v>
      </c>
      <c r="G79" s="3" t="s">
        <v>406</v>
      </c>
      <c r="H79" s="8">
        <v>1</v>
      </c>
      <c r="I79" s="55" t="s">
        <v>13</v>
      </c>
      <c r="J79" s="20">
        <v>2</v>
      </c>
    </row>
    <row r="80" spans="1:11" ht="15" customHeight="1" x14ac:dyDescent="0.25">
      <c r="A80" s="2" t="s">
        <v>349</v>
      </c>
      <c r="B80" s="3" t="s">
        <v>15</v>
      </c>
      <c r="C80" s="3" t="s">
        <v>11</v>
      </c>
      <c r="D80" s="3" t="s">
        <v>18</v>
      </c>
      <c r="E80" s="3" t="s">
        <v>80</v>
      </c>
      <c r="F80" s="3" t="s">
        <v>81</v>
      </c>
      <c r="G80" s="3" t="s">
        <v>406</v>
      </c>
      <c r="H80" s="8">
        <v>1</v>
      </c>
      <c r="I80" s="55" t="s">
        <v>16</v>
      </c>
      <c r="J80" s="20">
        <v>2</v>
      </c>
    </row>
    <row r="81" spans="1:10" x14ac:dyDescent="0.25">
      <c r="A81" s="2" t="s">
        <v>89</v>
      </c>
      <c r="B81" s="3" t="s">
        <v>15</v>
      </c>
      <c r="C81" s="3" t="s">
        <v>11</v>
      </c>
      <c r="D81" s="3" t="s">
        <v>18</v>
      </c>
      <c r="E81" s="3" t="s">
        <v>80</v>
      </c>
      <c r="F81" s="3" t="s">
        <v>81</v>
      </c>
      <c r="G81" s="3" t="s">
        <v>406</v>
      </c>
      <c r="H81" s="8">
        <v>1</v>
      </c>
      <c r="I81" s="55" t="s">
        <v>16</v>
      </c>
      <c r="J81" s="20">
        <v>2</v>
      </c>
    </row>
    <row r="82" spans="1:10" ht="15" customHeight="1" x14ac:dyDescent="0.25">
      <c r="A82" s="2" t="s">
        <v>350</v>
      </c>
      <c r="B82" s="3" t="s">
        <v>15</v>
      </c>
      <c r="C82" s="3" t="s">
        <v>11</v>
      </c>
      <c r="D82" s="3" t="s">
        <v>18</v>
      </c>
      <c r="E82" s="3" t="s">
        <v>80</v>
      </c>
      <c r="F82" s="3" t="s">
        <v>81</v>
      </c>
      <c r="G82" s="3" t="s">
        <v>406</v>
      </c>
      <c r="H82" s="8">
        <v>1</v>
      </c>
      <c r="I82" s="55" t="s">
        <v>16</v>
      </c>
      <c r="J82" s="20">
        <v>2</v>
      </c>
    </row>
    <row r="83" spans="1:10" ht="15" customHeight="1" x14ac:dyDescent="0.25">
      <c r="A83" s="2" t="s">
        <v>351</v>
      </c>
      <c r="B83" s="3" t="s">
        <v>15</v>
      </c>
      <c r="C83" s="3" t="s">
        <v>11</v>
      </c>
      <c r="D83" s="3" t="s">
        <v>18</v>
      </c>
      <c r="E83" s="3" t="s">
        <v>80</v>
      </c>
      <c r="F83" s="3" t="s">
        <v>81</v>
      </c>
      <c r="G83" s="3" t="s">
        <v>406</v>
      </c>
      <c r="H83" s="8">
        <v>1</v>
      </c>
      <c r="I83" s="55" t="s">
        <v>16</v>
      </c>
      <c r="J83" s="20">
        <v>2</v>
      </c>
    </row>
    <row r="84" spans="1:10" x14ac:dyDescent="0.25">
      <c r="A84" s="2" t="s">
        <v>90</v>
      </c>
      <c r="B84" s="3" t="s">
        <v>10</v>
      </c>
      <c r="C84" s="3" t="s">
        <v>11</v>
      </c>
      <c r="D84" s="3" t="s">
        <v>18</v>
      </c>
      <c r="E84" s="3" t="s">
        <v>80</v>
      </c>
      <c r="F84" s="3" t="s">
        <v>81</v>
      </c>
      <c r="G84" s="3" t="s">
        <v>406</v>
      </c>
      <c r="H84" s="8">
        <v>1</v>
      </c>
      <c r="I84" s="55" t="s">
        <v>13</v>
      </c>
      <c r="J84" s="20">
        <v>3</v>
      </c>
    </row>
    <row r="85" spans="1:10" x14ac:dyDescent="0.25">
      <c r="A85" s="2" t="s">
        <v>91</v>
      </c>
      <c r="B85" s="3" t="s">
        <v>10</v>
      </c>
      <c r="C85" s="3" t="s">
        <v>11</v>
      </c>
      <c r="D85" s="3" t="s">
        <v>18</v>
      </c>
      <c r="E85" s="3" t="s">
        <v>80</v>
      </c>
      <c r="F85" s="3" t="s">
        <v>81</v>
      </c>
      <c r="G85" s="3" t="s">
        <v>406</v>
      </c>
      <c r="H85" s="8">
        <v>1</v>
      </c>
      <c r="I85" s="55" t="s">
        <v>13</v>
      </c>
      <c r="J85" s="20">
        <v>3</v>
      </c>
    </row>
    <row r="86" spans="1:10" x14ac:dyDescent="0.25">
      <c r="A86" s="2" t="s">
        <v>259</v>
      </c>
      <c r="B86" s="3" t="s">
        <v>10</v>
      </c>
      <c r="C86" s="3" t="s">
        <v>11</v>
      </c>
      <c r="D86" s="3" t="s">
        <v>18</v>
      </c>
      <c r="E86" s="3" t="s">
        <v>80</v>
      </c>
      <c r="F86" s="3" t="s">
        <v>81</v>
      </c>
      <c r="G86" s="3" t="s">
        <v>406</v>
      </c>
      <c r="H86" s="8">
        <v>2</v>
      </c>
      <c r="I86" s="55" t="s">
        <v>16</v>
      </c>
      <c r="J86" s="20">
        <v>3</v>
      </c>
    </row>
    <row r="87" spans="1:10" x14ac:dyDescent="0.25">
      <c r="A87" s="2" t="s">
        <v>92</v>
      </c>
      <c r="B87" s="3" t="s">
        <v>10</v>
      </c>
      <c r="C87" s="3" t="s">
        <v>11</v>
      </c>
      <c r="D87" s="3" t="s">
        <v>18</v>
      </c>
      <c r="E87" s="3" t="s">
        <v>80</v>
      </c>
      <c r="F87" s="3" t="s">
        <v>81</v>
      </c>
      <c r="G87" s="3" t="s">
        <v>406</v>
      </c>
      <c r="H87" s="8">
        <v>1</v>
      </c>
      <c r="I87" s="55" t="s">
        <v>16</v>
      </c>
      <c r="J87" s="20">
        <v>3</v>
      </c>
    </row>
    <row r="88" spans="1:10" x14ac:dyDescent="0.25">
      <c r="A88" s="2" t="s">
        <v>93</v>
      </c>
      <c r="B88" s="3" t="s">
        <v>15</v>
      </c>
      <c r="C88" s="3" t="s">
        <v>11</v>
      </c>
      <c r="D88" s="3" t="s">
        <v>18</v>
      </c>
      <c r="E88" s="3" t="s">
        <v>80</v>
      </c>
      <c r="F88" s="3" t="s">
        <v>81</v>
      </c>
      <c r="G88" s="3" t="s">
        <v>406</v>
      </c>
      <c r="H88" s="8">
        <v>1</v>
      </c>
      <c r="I88" s="55" t="s">
        <v>13</v>
      </c>
      <c r="J88" s="20">
        <v>3</v>
      </c>
    </row>
    <row r="89" spans="1:10" x14ac:dyDescent="0.25">
      <c r="A89" s="2" t="s">
        <v>94</v>
      </c>
      <c r="B89" s="3" t="s">
        <v>15</v>
      </c>
      <c r="C89" s="3" t="s">
        <v>11</v>
      </c>
      <c r="D89" s="3" t="s">
        <v>18</v>
      </c>
      <c r="E89" s="3" t="s">
        <v>80</v>
      </c>
      <c r="F89" s="3" t="s">
        <v>81</v>
      </c>
      <c r="G89" s="3" t="s">
        <v>406</v>
      </c>
      <c r="H89" s="8">
        <v>1</v>
      </c>
      <c r="I89" s="55" t="s">
        <v>13</v>
      </c>
      <c r="J89" s="20">
        <v>3</v>
      </c>
    </row>
    <row r="90" spans="1:10" x14ac:dyDescent="0.25">
      <c r="A90" s="2" t="s">
        <v>95</v>
      </c>
      <c r="B90" s="3" t="s">
        <v>15</v>
      </c>
      <c r="C90" s="3" t="s">
        <v>11</v>
      </c>
      <c r="D90" s="3" t="s">
        <v>18</v>
      </c>
      <c r="E90" s="3" t="s">
        <v>80</v>
      </c>
      <c r="F90" s="3" t="s">
        <v>81</v>
      </c>
      <c r="G90" s="3" t="s">
        <v>406</v>
      </c>
      <c r="H90" s="8">
        <v>6</v>
      </c>
      <c r="I90" s="55" t="s">
        <v>13</v>
      </c>
      <c r="J90" s="20">
        <v>3</v>
      </c>
    </row>
    <row r="91" spans="1:10" x14ac:dyDescent="0.25">
      <c r="A91" s="2" t="s">
        <v>96</v>
      </c>
      <c r="B91" s="3" t="s">
        <v>15</v>
      </c>
      <c r="C91" s="3" t="s">
        <v>11</v>
      </c>
      <c r="D91" s="3" t="s">
        <v>18</v>
      </c>
      <c r="E91" s="3" t="s">
        <v>80</v>
      </c>
      <c r="F91" s="3" t="s">
        <v>81</v>
      </c>
      <c r="G91" s="3" t="s">
        <v>406</v>
      </c>
      <c r="H91" s="8">
        <v>1</v>
      </c>
      <c r="I91" s="55" t="s">
        <v>13</v>
      </c>
      <c r="J91" s="20">
        <v>3</v>
      </c>
    </row>
    <row r="92" spans="1:10" x14ac:dyDescent="0.25">
      <c r="A92" s="2" t="s">
        <v>97</v>
      </c>
      <c r="B92" s="3" t="s">
        <v>15</v>
      </c>
      <c r="C92" s="3" t="s">
        <v>11</v>
      </c>
      <c r="D92" s="3" t="s">
        <v>18</v>
      </c>
      <c r="E92" s="3" t="s">
        <v>80</v>
      </c>
      <c r="F92" s="3" t="s">
        <v>81</v>
      </c>
      <c r="G92" s="3" t="s">
        <v>406</v>
      </c>
      <c r="H92" s="8">
        <v>1</v>
      </c>
      <c r="I92" s="55" t="s">
        <v>13</v>
      </c>
      <c r="J92" s="20">
        <v>3</v>
      </c>
    </row>
    <row r="93" spans="1:10" x14ac:dyDescent="0.25">
      <c r="A93" s="2" t="s">
        <v>98</v>
      </c>
      <c r="B93" s="3" t="s">
        <v>15</v>
      </c>
      <c r="C93" s="3" t="s">
        <v>11</v>
      </c>
      <c r="D93" s="3" t="s">
        <v>18</v>
      </c>
      <c r="E93" s="3" t="s">
        <v>80</v>
      </c>
      <c r="F93" s="3" t="s">
        <v>81</v>
      </c>
      <c r="G93" s="3" t="s">
        <v>406</v>
      </c>
      <c r="H93" s="8">
        <v>1</v>
      </c>
      <c r="I93" s="55" t="s">
        <v>13</v>
      </c>
      <c r="J93" s="20">
        <v>3</v>
      </c>
    </row>
    <row r="94" spans="1:10" x14ac:dyDescent="0.25">
      <c r="A94" s="2" t="s">
        <v>99</v>
      </c>
      <c r="B94" s="3" t="s">
        <v>15</v>
      </c>
      <c r="C94" s="3" t="s">
        <v>11</v>
      </c>
      <c r="D94" s="3" t="s">
        <v>18</v>
      </c>
      <c r="E94" s="3" t="s">
        <v>80</v>
      </c>
      <c r="F94" s="3" t="s">
        <v>81</v>
      </c>
      <c r="G94" s="3" t="s">
        <v>406</v>
      </c>
      <c r="H94" s="8">
        <v>1</v>
      </c>
      <c r="I94" s="55" t="s">
        <v>16</v>
      </c>
      <c r="J94" s="20">
        <v>3</v>
      </c>
    </row>
    <row r="95" spans="1:10" x14ac:dyDescent="0.25">
      <c r="A95" s="2" t="s">
        <v>100</v>
      </c>
      <c r="B95" s="3" t="s">
        <v>15</v>
      </c>
      <c r="C95" s="3" t="s">
        <v>11</v>
      </c>
      <c r="D95" s="3" t="s">
        <v>18</v>
      </c>
      <c r="E95" s="3" t="s">
        <v>80</v>
      </c>
      <c r="F95" s="3" t="s">
        <v>81</v>
      </c>
      <c r="G95" s="3" t="s">
        <v>406</v>
      </c>
      <c r="H95" s="8">
        <v>3</v>
      </c>
      <c r="I95" s="55" t="s">
        <v>16</v>
      </c>
      <c r="J95" s="20">
        <v>3</v>
      </c>
    </row>
    <row r="96" spans="1:10" x14ac:dyDescent="0.25">
      <c r="A96" s="2" t="s">
        <v>101</v>
      </c>
      <c r="B96" s="3" t="s">
        <v>10</v>
      </c>
      <c r="C96" s="3" t="s">
        <v>11</v>
      </c>
      <c r="D96" s="3" t="s">
        <v>18</v>
      </c>
      <c r="E96" s="3" t="s">
        <v>80</v>
      </c>
      <c r="F96" s="3" t="s">
        <v>81</v>
      </c>
      <c r="G96" s="3" t="s">
        <v>406</v>
      </c>
      <c r="H96" s="8">
        <v>1</v>
      </c>
      <c r="I96" s="55" t="s">
        <v>16</v>
      </c>
      <c r="J96" s="20">
        <v>4</v>
      </c>
    </row>
    <row r="97" spans="1:10" x14ac:dyDescent="0.25">
      <c r="A97" s="2">
        <v>1278</v>
      </c>
      <c r="B97" s="3" t="s">
        <v>10</v>
      </c>
      <c r="C97" s="3" t="s">
        <v>11</v>
      </c>
      <c r="D97" s="3" t="s">
        <v>18</v>
      </c>
      <c r="E97" s="3" t="s">
        <v>80</v>
      </c>
      <c r="F97" s="3" t="s">
        <v>81</v>
      </c>
      <c r="G97" s="3" t="s">
        <v>406</v>
      </c>
      <c r="H97" s="8">
        <v>1</v>
      </c>
      <c r="I97" s="55" t="s">
        <v>16</v>
      </c>
      <c r="J97" s="20">
        <v>5</v>
      </c>
    </row>
    <row r="98" spans="1:10" x14ac:dyDescent="0.25">
      <c r="A98" s="2">
        <v>1312</v>
      </c>
      <c r="B98" s="3" t="s">
        <v>15</v>
      </c>
      <c r="C98" s="3" t="s">
        <v>11</v>
      </c>
      <c r="D98" s="3" t="s">
        <v>18</v>
      </c>
      <c r="E98" s="3" t="s">
        <v>80</v>
      </c>
      <c r="F98" s="3" t="s">
        <v>81</v>
      </c>
      <c r="G98" s="3" t="s">
        <v>406</v>
      </c>
      <c r="H98" s="8">
        <v>1</v>
      </c>
      <c r="I98" s="55" t="s">
        <v>13</v>
      </c>
      <c r="J98" s="20">
        <v>5</v>
      </c>
    </row>
    <row r="99" spans="1:10" x14ac:dyDescent="0.25">
      <c r="A99" s="2">
        <v>1776</v>
      </c>
      <c r="B99" s="3" t="s">
        <v>15</v>
      </c>
      <c r="C99" s="3" t="s">
        <v>11</v>
      </c>
      <c r="D99" s="3" t="s">
        <v>18</v>
      </c>
      <c r="E99" s="3" t="s">
        <v>80</v>
      </c>
      <c r="F99" s="3" t="s">
        <v>81</v>
      </c>
      <c r="G99" s="3" t="s">
        <v>406</v>
      </c>
      <c r="H99" s="8">
        <v>1</v>
      </c>
      <c r="I99" s="55" t="s">
        <v>16</v>
      </c>
      <c r="J99" s="20">
        <v>6</v>
      </c>
    </row>
    <row r="100" spans="1:10" x14ac:dyDescent="0.25">
      <c r="A100" s="2" t="s">
        <v>260</v>
      </c>
      <c r="B100" s="3" t="s">
        <v>15</v>
      </c>
      <c r="C100" s="3" t="s">
        <v>11</v>
      </c>
      <c r="D100" s="3" t="s">
        <v>18</v>
      </c>
      <c r="E100" s="3" t="s">
        <v>80</v>
      </c>
      <c r="F100" s="3" t="s">
        <v>81</v>
      </c>
      <c r="G100" s="3" t="s">
        <v>406</v>
      </c>
      <c r="H100" s="8">
        <v>2</v>
      </c>
      <c r="I100" s="55" t="s">
        <v>13</v>
      </c>
      <c r="J100" s="20">
        <v>5</v>
      </c>
    </row>
    <row r="101" spans="1:10" x14ac:dyDescent="0.25">
      <c r="A101" s="2" t="s">
        <v>102</v>
      </c>
      <c r="B101" s="3" t="s">
        <v>15</v>
      </c>
      <c r="C101" s="3" t="s">
        <v>11</v>
      </c>
      <c r="D101" s="3" t="s">
        <v>18</v>
      </c>
      <c r="E101" s="3" t="s">
        <v>80</v>
      </c>
      <c r="F101" s="3" t="s">
        <v>81</v>
      </c>
      <c r="G101" s="3" t="s">
        <v>406</v>
      </c>
      <c r="H101" s="8">
        <v>2</v>
      </c>
      <c r="I101" s="55" t="s">
        <v>13</v>
      </c>
      <c r="J101" s="20">
        <v>6</v>
      </c>
    </row>
    <row r="102" spans="1:10" x14ac:dyDescent="0.25">
      <c r="A102" s="2" t="s">
        <v>103</v>
      </c>
      <c r="B102" s="3" t="s">
        <v>15</v>
      </c>
      <c r="C102" s="3" t="s">
        <v>11</v>
      </c>
      <c r="D102" s="3" t="s">
        <v>18</v>
      </c>
      <c r="E102" s="3" t="s">
        <v>104</v>
      </c>
      <c r="F102" s="2" t="s">
        <v>105</v>
      </c>
      <c r="G102" s="3" t="s">
        <v>106</v>
      </c>
      <c r="H102" s="8">
        <v>1</v>
      </c>
      <c r="I102" s="55" t="s">
        <v>16</v>
      </c>
      <c r="J102" s="20">
        <v>1</v>
      </c>
    </row>
    <row r="103" spans="1:10" x14ac:dyDescent="0.25">
      <c r="A103" s="2" t="s">
        <v>107</v>
      </c>
      <c r="B103" s="3" t="s">
        <v>10</v>
      </c>
      <c r="C103" s="3" t="s">
        <v>11</v>
      </c>
      <c r="D103" s="3" t="s">
        <v>18</v>
      </c>
      <c r="E103" s="3" t="s">
        <v>104</v>
      </c>
      <c r="F103" s="2" t="s">
        <v>105</v>
      </c>
      <c r="G103" s="3" t="s">
        <v>106</v>
      </c>
      <c r="H103" s="8">
        <v>1</v>
      </c>
      <c r="I103" s="55" t="s">
        <v>16</v>
      </c>
      <c r="J103" s="20">
        <v>2</v>
      </c>
    </row>
    <row r="104" spans="1:10" x14ac:dyDescent="0.25">
      <c r="A104" s="2">
        <v>1338</v>
      </c>
      <c r="B104" s="3" t="s">
        <v>15</v>
      </c>
      <c r="C104" s="3" t="s">
        <v>11</v>
      </c>
      <c r="D104" s="3" t="s">
        <v>18</v>
      </c>
      <c r="E104" s="3" t="s">
        <v>104</v>
      </c>
      <c r="F104" s="2" t="s">
        <v>105</v>
      </c>
      <c r="G104" s="3" t="s">
        <v>106</v>
      </c>
      <c r="H104" s="8">
        <v>1</v>
      </c>
      <c r="I104" s="55" t="s">
        <v>13</v>
      </c>
      <c r="J104" s="20">
        <v>5</v>
      </c>
    </row>
    <row r="105" spans="1:10" x14ac:dyDescent="0.25">
      <c r="A105" s="2" t="s">
        <v>108</v>
      </c>
      <c r="B105" s="3" t="s">
        <v>15</v>
      </c>
      <c r="C105" s="3" t="s">
        <v>11</v>
      </c>
      <c r="D105" s="3" t="s">
        <v>18</v>
      </c>
      <c r="E105" s="3" t="s">
        <v>104</v>
      </c>
      <c r="F105" s="2" t="s">
        <v>105</v>
      </c>
      <c r="G105" s="3" t="s">
        <v>106</v>
      </c>
      <c r="H105" s="8">
        <v>1</v>
      </c>
      <c r="I105" s="55" t="s">
        <v>13</v>
      </c>
      <c r="J105" s="20">
        <v>5</v>
      </c>
    </row>
    <row r="106" spans="1:10" x14ac:dyDescent="0.25">
      <c r="A106" s="2" t="s">
        <v>109</v>
      </c>
      <c r="B106" s="3" t="s">
        <v>15</v>
      </c>
      <c r="C106" s="3" t="s">
        <v>11</v>
      </c>
      <c r="D106" s="3" t="s">
        <v>18</v>
      </c>
      <c r="E106" s="3" t="s">
        <v>104</v>
      </c>
      <c r="F106" s="2" t="s">
        <v>105</v>
      </c>
      <c r="G106" s="3" t="s">
        <v>106</v>
      </c>
      <c r="H106" s="8">
        <v>1</v>
      </c>
      <c r="I106" s="55" t="s">
        <v>13</v>
      </c>
      <c r="J106" s="20">
        <v>5</v>
      </c>
    </row>
    <row r="107" spans="1:10" x14ac:dyDescent="0.25">
      <c r="A107" s="2">
        <v>1350</v>
      </c>
      <c r="B107" s="3" t="s">
        <v>15</v>
      </c>
      <c r="C107" s="3" t="s">
        <v>11</v>
      </c>
      <c r="D107" s="3" t="s">
        <v>18</v>
      </c>
      <c r="E107" s="3" t="s">
        <v>104</v>
      </c>
      <c r="F107" s="2" t="s">
        <v>105</v>
      </c>
      <c r="G107" s="3" t="s">
        <v>106</v>
      </c>
      <c r="H107" s="8">
        <v>1</v>
      </c>
      <c r="I107" s="55" t="s">
        <v>13</v>
      </c>
      <c r="J107" s="20">
        <v>5</v>
      </c>
    </row>
    <row r="108" spans="1:10" x14ac:dyDescent="0.25">
      <c r="A108" s="2" t="s">
        <v>261</v>
      </c>
      <c r="B108" s="3" t="s">
        <v>15</v>
      </c>
      <c r="C108" s="3" t="s">
        <v>11</v>
      </c>
      <c r="D108" s="3" t="s">
        <v>18</v>
      </c>
      <c r="E108" s="3" t="s">
        <v>104</v>
      </c>
      <c r="F108" s="2" t="s">
        <v>105</v>
      </c>
      <c r="G108" s="3" t="s">
        <v>106</v>
      </c>
      <c r="H108" s="8">
        <v>1</v>
      </c>
      <c r="I108" s="55" t="s">
        <v>13</v>
      </c>
      <c r="J108" s="20">
        <v>3</v>
      </c>
    </row>
    <row r="109" spans="1:10" x14ac:dyDescent="0.25">
      <c r="A109" s="2" t="s">
        <v>262</v>
      </c>
      <c r="B109" s="3" t="s">
        <v>10</v>
      </c>
      <c r="C109" s="3" t="s">
        <v>11</v>
      </c>
      <c r="D109" s="3" t="s">
        <v>18</v>
      </c>
      <c r="E109" s="3" t="s">
        <v>104</v>
      </c>
      <c r="F109" s="2" t="s">
        <v>105</v>
      </c>
      <c r="G109" s="3" t="s">
        <v>106</v>
      </c>
      <c r="H109" s="8">
        <v>1</v>
      </c>
      <c r="I109" s="55" t="s">
        <v>13</v>
      </c>
      <c r="J109" s="20">
        <v>1</v>
      </c>
    </row>
    <row r="110" spans="1:10" x14ac:dyDescent="0.25">
      <c r="A110" s="2" t="s">
        <v>110</v>
      </c>
      <c r="B110" s="3" t="s">
        <v>10</v>
      </c>
      <c r="C110" s="3" t="s">
        <v>11</v>
      </c>
      <c r="D110" s="3" t="s">
        <v>18</v>
      </c>
      <c r="E110" s="3" t="s">
        <v>104</v>
      </c>
      <c r="F110" s="2" t="s">
        <v>105</v>
      </c>
      <c r="G110" s="3" t="s">
        <v>106</v>
      </c>
      <c r="H110" s="8">
        <v>1</v>
      </c>
      <c r="I110" s="55" t="s">
        <v>16</v>
      </c>
      <c r="J110" s="20">
        <v>1</v>
      </c>
    </row>
    <row r="111" spans="1:10" x14ac:dyDescent="0.25">
      <c r="A111" s="2" t="s">
        <v>111</v>
      </c>
      <c r="B111" s="3" t="s">
        <v>10</v>
      </c>
      <c r="C111" s="3" t="s">
        <v>11</v>
      </c>
      <c r="D111" s="3" t="s">
        <v>18</v>
      </c>
      <c r="E111" s="3" t="s">
        <v>112</v>
      </c>
      <c r="F111" s="2" t="s">
        <v>113</v>
      </c>
      <c r="G111" s="3" t="s">
        <v>114</v>
      </c>
      <c r="H111" s="8">
        <v>1</v>
      </c>
      <c r="I111" s="55" t="s">
        <v>16</v>
      </c>
      <c r="J111" s="20">
        <v>1</v>
      </c>
    </row>
    <row r="112" spans="1:10" x14ac:dyDescent="0.25">
      <c r="A112" s="2" t="s">
        <v>263</v>
      </c>
      <c r="B112" s="3" t="s">
        <v>10</v>
      </c>
      <c r="C112" s="3" t="s">
        <v>11</v>
      </c>
      <c r="D112" s="3" t="s">
        <v>18</v>
      </c>
      <c r="E112" s="3" t="s">
        <v>112</v>
      </c>
      <c r="F112" s="2" t="s">
        <v>113</v>
      </c>
      <c r="G112" s="3" t="s">
        <v>407</v>
      </c>
      <c r="H112" s="8">
        <v>1</v>
      </c>
      <c r="I112" s="55" t="s">
        <v>16</v>
      </c>
      <c r="J112" s="20">
        <v>1</v>
      </c>
    </row>
    <row r="113" spans="1:10" x14ac:dyDescent="0.25">
      <c r="A113" s="2" t="s">
        <v>264</v>
      </c>
      <c r="B113" s="3" t="s">
        <v>10</v>
      </c>
      <c r="C113" s="3" t="s">
        <v>11</v>
      </c>
      <c r="D113" s="3" t="s">
        <v>18</v>
      </c>
      <c r="E113" s="3" t="s">
        <v>112</v>
      </c>
      <c r="F113" s="2" t="s">
        <v>113</v>
      </c>
      <c r="G113" s="3" t="s">
        <v>114</v>
      </c>
      <c r="H113" s="8">
        <v>1</v>
      </c>
      <c r="I113" s="55" t="s">
        <v>13</v>
      </c>
      <c r="J113" s="20">
        <v>1</v>
      </c>
    </row>
    <row r="114" spans="1:10" x14ac:dyDescent="0.25">
      <c r="A114" s="2" t="s">
        <v>115</v>
      </c>
      <c r="B114" s="3" t="s">
        <v>15</v>
      </c>
      <c r="C114" s="3" t="s">
        <v>11</v>
      </c>
      <c r="D114" s="3" t="s">
        <v>18</v>
      </c>
      <c r="E114" s="3" t="s">
        <v>112</v>
      </c>
      <c r="F114" s="2" t="s">
        <v>113</v>
      </c>
      <c r="G114" s="3" t="s">
        <v>114</v>
      </c>
      <c r="H114" s="8">
        <v>1</v>
      </c>
      <c r="I114" s="55" t="s">
        <v>16</v>
      </c>
      <c r="J114" s="20">
        <v>1</v>
      </c>
    </row>
    <row r="115" spans="1:10" x14ac:dyDescent="0.25">
      <c r="A115" s="2" t="s">
        <v>116</v>
      </c>
      <c r="B115" s="3" t="s">
        <v>10</v>
      </c>
      <c r="C115" s="3" t="s">
        <v>11</v>
      </c>
      <c r="D115" s="3" t="s">
        <v>18</v>
      </c>
      <c r="E115" s="3" t="s">
        <v>112</v>
      </c>
      <c r="F115" s="2" t="s">
        <v>113</v>
      </c>
      <c r="G115" s="3" t="s">
        <v>114</v>
      </c>
      <c r="H115" s="8">
        <v>1</v>
      </c>
      <c r="I115" s="55" t="s">
        <v>16</v>
      </c>
      <c r="J115" s="20">
        <v>2</v>
      </c>
    </row>
    <row r="116" spans="1:10" ht="15" customHeight="1" x14ac:dyDescent="0.25">
      <c r="A116" s="2" t="s">
        <v>302</v>
      </c>
      <c r="B116" s="3" t="s">
        <v>15</v>
      </c>
      <c r="C116" s="3" t="s">
        <v>11</v>
      </c>
      <c r="D116" s="3" t="s">
        <v>18</v>
      </c>
      <c r="E116" s="3" t="s">
        <v>112</v>
      </c>
      <c r="F116" s="2" t="s">
        <v>113</v>
      </c>
      <c r="G116" s="3" t="s">
        <v>114</v>
      </c>
      <c r="H116" s="8">
        <v>1</v>
      </c>
      <c r="I116" s="55" t="s">
        <v>16</v>
      </c>
      <c r="J116" s="20">
        <v>2</v>
      </c>
    </row>
    <row r="117" spans="1:10" x14ac:dyDescent="0.25">
      <c r="A117" s="2">
        <v>1106</v>
      </c>
      <c r="B117" s="3" t="s">
        <v>15</v>
      </c>
      <c r="C117" s="3" t="s">
        <v>11</v>
      </c>
      <c r="D117" s="3" t="s">
        <v>18</v>
      </c>
      <c r="E117" s="3" t="s">
        <v>112</v>
      </c>
      <c r="F117" s="2" t="s">
        <v>113</v>
      </c>
      <c r="G117" s="3" t="s">
        <v>114</v>
      </c>
      <c r="H117" s="8">
        <v>1</v>
      </c>
      <c r="I117" s="55" t="s">
        <v>16</v>
      </c>
      <c r="J117" s="20">
        <v>4</v>
      </c>
    </row>
    <row r="118" spans="1:10" x14ac:dyDescent="0.25">
      <c r="A118" s="2">
        <v>1605</v>
      </c>
      <c r="B118" s="3" t="s">
        <v>10</v>
      </c>
      <c r="C118" s="3" t="s">
        <v>11</v>
      </c>
      <c r="D118" s="3" t="s">
        <v>18</v>
      </c>
      <c r="E118" s="3" t="s">
        <v>112</v>
      </c>
      <c r="F118" s="2" t="s">
        <v>113</v>
      </c>
      <c r="G118" s="3" t="s">
        <v>114</v>
      </c>
      <c r="H118" s="8">
        <v>1</v>
      </c>
      <c r="I118" s="55" t="s">
        <v>16</v>
      </c>
      <c r="J118" s="20">
        <v>6</v>
      </c>
    </row>
    <row r="119" spans="1:10" x14ac:dyDescent="0.25">
      <c r="A119" s="2" t="s">
        <v>36</v>
      </c>
      <c r="B119" s="3" t="s">
        <v>10</v>
      </c>
      <c r="C119" s="3" t="s">
        <v>11</v>
      </c>
      <c r="D119" s="3" t="s">
        <v>18</v>
      </c>
      <c r="E119" s="3" t="s">
        <v>112</v>
      </c>
      <c r="F119" s="2" t="s">
        <v>113</v>
      </c>
      <c r="G119" s="3" t="s">
        <v>114</v>
      </c>
      <c r="H119" s="8">
        <v>1</v>
      </c>
      <c r="I119" s="55" t="s">
        <v>16</v>
      </c>
      <c r="J119" s="20">
        <v>6</v>
      </c>
    </row>
    <row r="120" spans="1:10" x14ac:dyDescent="0.25">
      <c r="A120" s="2" t="s">
        <v>117</v>
      </c>
      <c r="B120" s="3" t="s">
        <v>15</v>
      </c>
      <c r="C120" s="3" t="s">
        <v>11</v>
      </c>
      <c r="D120" s="3" t="s">
        <v>18</v>
      </c>
      <c r="E120" s="3" t="s">
        <v>112</v>
      </c>
      <c r="F120" s="2" t="s">
        <v>113</v>
      </c>
      <c r="G120" s="3" t="s">
        <v>114</v>
      </c>
      <c r="H120" s="8">
        <v>2</v>
      </c>
      <c r="I120" s="55" t="s">
        <v>16</v>
      </c>
      <c r="J120" s="20">
        <v>6</v>
      </c>
    </row>
    <row r="121" spans="1:10" x14ac:dyDescent="0.25">
      <c r="A121" s="2" t="s">
        <v>118</v>
      </c>
      <c r="B121" s="3" t="s">
        <v>15</v>
      </c>
      <c r="C121" s="3" t="s">
        <v>11</v>
      </c>
      <c r="D121" s="3" t="s">
        <v>18</v>
      </c>
      <c r="E121" s="3" t="s">
        <v>112</v>
      </c>
      <c r="F121" s="2" t="s">
        <v>113</v>
      </c>
      <c r="G121" s="3" t="s">
        <v>114</v>
      </c>
      <c r="H121" s="8">
        <v>1</v>
      </c>
      <c r="I121" s="55" t="s">
        <v>16</v>
      </c>
      <c r="J121" s="20">
        <v>6</v>
      </c>
    </row>
    <row r="122" spans="1:10" x14ac:dyDescent="0.25">
      <c r="A122" s="2" t="s">
        <v>119</v>
      </c>
      <c r="B122" s="3" t="s">
        <v>15</v>
      </c>
      <c r="C122" s="3" t="s">
        <v>11</v>
      </c>
      <c r="D122" s="3" t="s">
        <v>18</v>
      </c>
      <c r="E122" s="3" t="s">
        <v>112</v>
      </c>
      <c r="F122" s="2" t="s">
        <v>113</v>
      </c>
      <c r="G122" s="3" t="s">
        <v>120</v>
      </c>
      <c r="H122" s="8">
        <v>1</v>
      </c>
      <c r="I122" s="55" t="s">
        <v>13</v>
      </c>
      <c r="J122" s="20">
        <v>6</v>
      </c>
    </row>
    <row r="123" spans="1:10" x14ac:dyDescent="0.25">
      <c r="A123" s="2" t="s">
        <v>121</v>
      </c>
      <c r="B123" s="3" t="s">
        <v>15</v>
      </c>
      <c r="C123" s="3" t="s">
        <v>11</v>
      </c>
      <c r="D123" s="3" t="s">
        <v>18</v>
      </c>
      <c r="E123" s="3" t="s">
        <v>112</v>
      </c>
      <c r="F123" s="2" t="s">
        <v>113</v>
      </c>
      <c r="G123" s="3" t="s">
        <v>122</v>
      </c>
      <c r="H123" s="8">
        <v>1</v>
      </c>
      <c r="I123" s="55" t="s">
        <v>16</v>
      </c>
      <c r="J123" s="20">
        <v>6</v>
      </c>
    </row>
    <row r="124" spans="1:10" x14ac:dyDescent="0.25">
      <c r="A124" s="2" t="s">
        <v>123</v>
      </c>
      <c r="B124" s="3" t="s">
        <v>10</v>
      </c>
      <c r="C124" s="3" t="s">
        <v>11</v>
      </c>
      <c r="D124" s="3" t="s">
        <v>18</v>
      </c>
      <c r="E124" s="3" t="s">
        <v>112</v>
      </c>
      <c r="F124" s="2" t="s">
        <v>113</v>
      </c>
      <c r="G124" s="3" t="s">
        <v>114</v>
      </c>
      <c r="H124" s="11">
        <v>1</v>
      </c>
      <c r="I124" s="55" t="s">
        <v>16</v>
      </c>
      <c r="J124" s="20">
        <v>1</v>
      </c>
    </row>
    <row r="125" spans="1:10" x14ac:dyDescent="0.25">
      <c r="A125" s="2" t="s">
        <v>22</v>
      </c>
      <c r="B125" s="3" t="s">
        <v>15</v>
      </c>
      <c r="C125" s="3" t="s">
        <v>11</v>
      </c>
      <c r="D125" s="3" t="s">
        <v>18</v>
      </c>
      <c r="E125" s="3" t="s">
        <v>112</v>
      </c>
      <c r="F125" s="2" t="s">
        <v>113</v>
      </c>
      <c r="G125" s="3" t="s">
        <v>407</v>
      </c>
      <c r="H125" s="8">
        <v>1</v>
      </c>
      <c r="I125" s="55" t="s">
        <v>16</v>
      </c>
      <c r="J125" s="20">
        <v>3</v>
      </c>
    </row>
    <row r="126" spans="1:10" x14ac:dyDescent="0.25">
      <c r="A126" s="2" t="s">
        <v>124</v>
      </c>
      <c r="B126" s="3" t="s">
        <v>15</v>
      </c>
      <c r="C126" s="3" t="s">
        <v>11</v>
      </c>
      <c r="D126" s="3" t="s">
        <v>18</v>
      </c>
      <c r="E126" s="3" t="s">
        <v>112</v>
      </c>
      <c r="F126" s="2" t="s">
        <v>113</v>
      </c>
      <c r="G126" s="3" t="s">
        <v>310</v>
      </c>
      <c r="H126" s="8">
        <v>1</v>
      </c>
      <c r="I126" s="55" t="s">
        <v>13</v>
      </c>
      <c r="J126" s="20">
        <v>4</v>
      </c>
    </row>
    <row r="127" spans="1:10" x14ac:dyDescent="0.25">
      <c r="A127" s="2">
        <v>1168</v>
      </c>
      <c r="B127" s="3" t="s">
        <v>10</v>
      </c>
      <c r="C127" s="3" t="s">
        <v>11</v>
      </c>
      <c r="D127" s="3" t="s">
        <v>18</v>
      </c>
      <c r="E127" s="3" t="s">
        <v>112</v>
      </c>
      <c r="F127" s="2" t="s">
        <v>113</v>
      </c>
      <c r="G127" s="3" t="s">
        <v>407</v>
      </c>
      <c r="H127" s="11">
        <v>1</v>
      </c>
      <c r="I127" s="55" t="s">
        <v>13</v>
      </c>
      <c r="J127" s="20">
        <v>5</v>
      </c>
    </row>
    <row r="128" spans="1:10" x14ac:dyDescent="0.25">
      <c r="A128" s="14" t="s">
        <v>142</v>
      </c>
      <c r="B128" s="3" t="s">
        <v>10</v>
      </c>
      <c r="C128" s="3" t="s">
        <v>11</v>
      </c>
      <c r="D128" s="3" t="s">
        <v>18</v>
      </c>
      <c r="E128" s="3" t="s">
        <v>112</v>
      </c>
      <c r="F128" s="2" t="s">
        <v>113</v>
      </c>
      <c r="G128" s="3" t="s">
        <v>407</v>
      </c>
      <c r="H128" s="11">
        <v>1</v>
      </c>
      <c r="I128" s="55" t="s">
        <v>16</v>
      </c>
      <c r="J128" s="20">
        <v>5</v>
      </c>
    </row>
    <row r="129" spans="1:10" x14ac:dyDescent="0.25">
      <c r="A129" s="14" t="s">
        <v>265</v>
      </c>
      <c r="B129" s="3" t="s">
        <v>15</v>
      </c>
      <c r="C129" s="3" t="s">
        <v>11</v>
      </c>
      <c r="D129" s="3" t="s">
        <v>18</v>
      </c>
      <c r="E129" s="3" t="s">
        <v>112</v>
      </c>
      <c r="F129" s="2" t="s">
        <v>113</v>
      </c>
      <c r="G129" s="3" t="s">
        <v>407</v>
      </c>
      <c r="H129" s="11">
        <v>1</v>
      </c>
      <c r="I129" s="55" t="s">
        <v>16</v>
      </c>
      <c r="J129" s="20">
        <v>2</v>
      </c>
    </row>
    <row r="130" spans="1:10" x14ac:dyDescent="0.25">
      <c r="A130" s="14" t="s">
        <v>266</v>
      </c>
      <c r="B130" s="3" t="s">
        <v>15</v>
      </c>
      <c r="C130" s="3" t="s">
        <v>11</v>
      </c>
      <c r="D130" s="3" t="s">
        <v>18</v>
      </c>
      <c r="E130" s="3" t="s">
        <v>112</v>
      </c>
      <c r="F130" s="2" t="s">
        <v>113</v>
      </c>
      <c r="G130" s="3" t="s">
        <v>407</v>
      </c>
      <c r="H130" s="11">
        <v>1</v>
      </c>
      <c r="I130" s="55" t="s">
        <v>13</v>
      </c>
      <c r="J130" s="20">
        <v>4</v>
      </c>
    </row>
    <row r="131" spans="1:10" x14ac:dyDescent="0.25">
      <c r="A131" s="2" t="s">
        <v>256</v>
      </c>
      <c r="B131" s="3" t="s">
        <v>15</v>
      </c>
      <c r="C131" s="3" t="s">
        <v>11</v>
      </c>
      <c r="D131" s="3" t="s">
        <v>18</v>
      </c>
      <c r="E131" s="3" t="s">
        <v>112</v>
      </c>
      <c r="F131" s="2" t="s">
        <v>113</v>
      </c>
      <c r="G131" s="3" t="s">
        <v>407</v>
      </c>
      <c r="H131" s="11">
        <v>1</v>
      </c>
      <c r="I131" s="55" t="s">
        <v>16</v>
      </c>
      <c r="J131" s="20">
        <v>2</v>
      </c>
    </row>
    <row r="132" spans="1:10" x14ac:dyDescent="0.25">
      <c r="A132" s="2" t="s">
        <v>59</v>
      </c>
      <c r="B132" s="3" t="s">
        <v>10</v>
      </c>
      <c r="C132" s="3" t="s">
        <v>11</v>
      </c>
      <c r="D132" s="3" t="s">
        <v>18</v>
      </c>
      <c r="E132" s="3" t="s">
        <v>112</v>
      </c>
      <c r="F132" s="2" t="s">
        <v>113</v>
      </c>
      <c r="G132" s="3" t="s">
        <v>407</v>
      </c>
      <c r="H132" s="11">
        <v>1</v>
      </c>
      <c r="I132" s="55" t="s">
        <v>16</v>
      </c>
      <c r="J132" s="20">
        <v>6</v>
      </c>
    </row>
    <row r="133" spans="1:10" x14ac:dyDescent="0.25">
      <c r="A133" s="14" t="s">
        <v>129</v>
      </c>
      <c r="B133" s="3" t="s">
        <v>10</v>
      </c>
      <c r="C133" s="3" t="s">
        <v>11</v>
      </c>
      <c r="D133" s="3" t="s">
        <v>18</v>
      </c>
      <c r="E133" s="3" t="s">
        <v>112</v>
      </c>
      <c r="F133" s="2" t="s">
        <v>127</v>
      </c>
      <c r="G133" s="3" t="s">
        <v>408</v>
      </c>
      <c r="H133" s="11">
        <v>1</v>
      </c>
      <c r="I133" s="55" t="s">
        <v>13</v>
      </c>
      <c r="J133" s="20">
        <v>5</v>
      </c>
    </row>
    <row r="134" spans="1:10" x14ac:dyDescent="0.25">
      <c r="A134" s="2">
        <v>1665</v>
      </c>
      <c r="B134" s="3" t="s">
        <v>15</v>
      </c>
      <c r="C134" s="3" t="s">
        <v>11</v>
      </c>
      <c r="D134" s="3" t="s">
        <v>18</v>
      </c>
      <c r="E134" s="3" t="s">
        <v>126</v>
      </c>
      <c r="F134" s="2" t="s">
        <v>127</v>
      </c>
      <c r="G134" s="3" t="s">
        <v>130</v>
      </c>
      <c r="H134" s="8">
        <v>1</v>
      </c>
      <c r="I134" s="55" t="s">
        <v>13</v>
      </c>
      <c r="J134" s="20">
        <v>6</v>
      </c>
    </row>
    <row r="135" spans="1:10" x14ac:dyDescent="0.25">
      <c r="A135" s="2" t="s">
        <v>102</v>
      </c>
      <c r="B135" s="3" t="s">
        <v>15</v>
      </c>
      <c r="C135" s="3" t="s">
        <v>11</v>
      </c>
      <c r="D135" s="3" t="s">
        <v>18</v>
      </c>
      <c r="E135" s="3" t="s">
        <v>126</v>
      </c>
      <c r="F135" s="2" t="s">
        <v>127</v>
      </c>
      <c r="G135" s="3" t="s">
        <v>130</v>
      </c>
      <c r="H135" s="8">
        <v>1</v>
      </c>
      <c r="I135" s="55" t="s">
        <v>13</v>
      </c>
      <c r="J135" s="20">
        <v>6</v>
      </c>
    </row>
    <row r="136" spans="1:10" x14ac:dyDescent="0.25">
      <c r="A136" s="2" t="s">
        <v>131</v>
      </c>
      <c r="B136" s="3" t="s">
        <v>15</v>
      </c>
      <c r="C136" s="3" t="s">
        <v>11</v>
      </c>
      <c r="D136" s="3" t="s">
        <v>18</v>
      </c>
      <c r="E136" s="3" t="s">
        <v>126</v>
      </c>
      <c r="F136" s="2" t="s">
        <v>127</v>
      </c>
      <c r="G136" s="3" t="s">
        <v>355</v>
      </c>
      <c r="H136" s="8">
        <v>2</v>
      </c>
      <c r="I136" s="55" t="s">
        <v>13</v>
      </c>
      <c r="J136" s="20">
        <v>6</v>
      </c>
    </row>
    <row r="137" spans="1:10" x14ac:dyDescent="0.25">
      <c r="A137" s="2" t="s">
        <v>132</v>
      </c>
      <c r="B137" s="3" t="s">
        <v>15</v>
      </c>
      <c r="C137" s="3" t="s">
        <v>11</v>
      </c>
      <c r="D137" s="3" t="s">
        <v>18</v>
      </c>
      <c r="E137" s="3" t="s">
        <v>126</v>
      </c>
      <c r="F137" s="2" t="s">
        <v>127</v>
      </c>
      <c r="G137" s="3" t="s">
        <v>408</v>
      </c>
      <c r="H137" s="8">
        <v>1</v>
      </c>
      <c r="I137" s="55" t="s">
        <v>13</v>
      </c>
      <c r="J137" s="20">
        <v>1</v>
      </c>
    </row>
    <row r="138" spans="1:10" x14ac:dyDescent="0.25">
      <c r="A138" s="2" t="s">
        <v>133</v>
      </c>
      <c r="B138" s="3" t="s">
        <v>15</v>
      </c>
      <c r="C138" s="3" t="s">
        <v>11</v>
      </c>
      <c r="D138" s="3" t="s">
        <v>18</v>
      </c>
      <c r="E138" s="3" t="s">
        <v>126</v>
      </c>
      <c r="F138" s="2" t="s">
        <v>127</v>
      </c>
      <c r="G138" s="3" t="s">
        <v>408</v>
      </c>
      <c r="H138" s="8">
        <v>4</v>
      </c>
      <c r="I138" s="55" t="s">
        <v>13</v>
      </c>
      <c r="J138" s="20">
        <v>4</v>
      </c>
    </row>
    <row r="139" spans="1:10" x14ac:dyDescent="0.25">
      <c r="A139" s="2" t="s">
        <v>124</v>
      </c>
      <c r="B139" s="3" t="s">
        <v>15</v>
      </c>
      <c r="C139" s="3" t="s">
        <v>11</v>
      </c>
      <c r="D139" s="3" t="s">
        <v>18</v>
      </c>
      <c r="E139" s="3" t="s">
        <v>126</v>
      </c>
      <c r="F139" s="2" t="s">
        <v>127</v>
      </c>
      <c r="G139" s="7" t="s">
        <v>356</v>
      </c>
      <c r="H139" s="11">
        <v>3</v>
      </c>
      <c r="I139" s="55" t="s">
        <v>13</v>
      </c>
      <c r="J139" s="20">
        <v>4</v>
      </c>
    </row>
    <row r="140" spans="1:10" x14ac:dyDescent="0.25">
      <c r="A140" s="2">
        <v>1727</v>
      </c>
      <c r="B140" s="3" t="s">
        <v>15</v>
      </c>
      <c r="C140" s="3" t="s">
        <v>11</v>
      </c>
      <c r="D140" s="3" t="s">
        <v>18</v>
      </c>
      <c r="E140" s="3" t="s">
        <v>126</v>
      </c>
      <c r="F140" s="2" t="s">
        <v>127</v>
      </c>
      <c r="G140" s="3" t="s">
        <v>446</v>
      </c>
      <c r="H140" s="8">
        <v>1</v>
      </c>
      <c r="I140" s="55" t="s">
        <v>16</v>
      </c>
      <c r="J140" s="20">
        <v>6</v>
      </c>
    </row>
    <row r="141" spans="1:10" x14ac:dyDescent="0.25">
      <c r="A141" s="2" t="s">
        <v>134</v>
      </c>
      <c r="B141" s="3" t="s">
        <v>15</v>
      </c>
      <c r="C141" s="3" t="s">
        <v>11</v>
      </c>
      <c r="D141" s="3" t="s">
        <v>18</v>
      </c>
      <c r="E141" s="3" t="s">
        <v>126</v>
      </c>
      <c r="F141" s="2" t="s">
        <v>127</v>
      </c>
      <c r="G141" s="3" t="s">
        <v>313</v>
      </c>
      <c r="H141" s="8">
        <v>2</v>
      </c>
      <c r="I141" s="55" t="s">
        <v>13</v>
      </c>
      <c r="J141" s="20">
        <v>6</v>
      </c>
    </row>
    <row r="142" spans="1:10" x14ac:dyDescent="0.25">
      <c r="A142" s="2" t="s">
        <v>53</v>
      </c>
      <c r="B142" s="3" t="s">
        <v>15</v>
      </c>
      <c r="C142" s="3" t="s">
        <v>11</v>
      </c>
      <c r="D142" s="3" t="s">
        <v>18</v>
      </c>
      <c r="E142" s="3" t="s">
        <v>126</v>
      </c>
      <c r="F142" s="2" t="s">
        <v>127</v>
      </c>
      <c r="G142" s="3" t="s">
        <v>446</v>
      </c>
      <c r="H142" s="8">
        <v>1</v>
      </c>
      <c r="I142" s="55" t="s">
        <v>16</v>
      </c>
      <c r="J142" s="20">
        <v>6</v>
      </c>
    </row>
    <row r="143" spans="1:10" x14ac:dyDescent="0.25">
      <c r="A143" s="2" t="s">
        <v>135</v>
      </c>
      <c r="B143" s="3" t="s">
        <v>15</v>
      </c>
      <c r="C143" s="3" t="s">
        <v>11</v>
      </c>
      <c r="D143" s="3" t="s">
        <v>18</v>
      </c>
      <c r="E143" s="3" t="s">
        <v>126</v>
      </c>
      <c r="F143" s="2" t="s">
        <v>127</v>
      </c>
      <c r="G143" s="3" t="s">
        <v>313</v>
      </c>
      <c r="H143" s="8">
        <v>1</v>
      </c>
      <c r="I143" s="55" t="s">
        <v>16</v>
      </c>
      <c r="J143" s="20">
        <v>6</v>
      </c>
    </row>
    <row r="144" spans="1:10" x14ac:dyDescent="0.25">
      <c r="A144" s="2" t="s">
        <v>267</v>
      </c>
      <c r="B144" s="3" t="s">
        <v>15</v>
      </c>
      <c r="C144" s="3" t="s">
        <v>11</v>
      </c>
      <c r="D144" s="3" t="s">
        <v>18</v>
      </c>
      <c r="E144" s="3" t="s">
        <v>126</v>
      </c>
      <c r="F144" s="2" t="s">
        <v>127</v>
      </c>
      <c r="G144" s="3" t="s">
        <v>410</v>
      </c>
      <c r="H144" s="8">
        <v>1</v>
      </c>
      <c r="I144" s="55" t="s">
        <v>13</v>
      </c>
      <c r="J144" s="20">
        <v>4</v>
      </c>
    </row>
    <row r="145" spans="1:10" x14ac:dyDescent="0.25">
      <c r="A145" s="2" t="s">
        <v>125</v>
      </c>
      <c r="B145" s="3" t="s">
        <v>15</v>
      </c>
      <c r="C145" s="3" t="s">
        <v>11</v>
      </c>
      <c r="D145" s="3" t="s">
        <v>18</v>
      </c>
      <c r="E145" s="3" t="s">
        <v>126</v>
      </c>
      <c r="F145" s="3" t="s">
        <v>127</v>
      </c>
      <c r="G145" s="3" t="s">
        <v>411</v>
      </c>
      <c r="H145" s="8">
        <v>1</v>
      </c>
      <c r="I145" s="55" t="s">
        <v>16</v>
      </c>
      <c r="J145" s="20">
        <v>3</v>
      </c>
    </row>
    <row r="146" spans="1:10" x14ac:dyDescent="0.25">
      <c r="A146" s="2" t="s">
        <v>267</v>
      </c>
      <c r="B146" s="3" t="s">
        <v>15</v>
      </c>
      <c r="C146" s="3" t="s">
        <v>11</v>
      </c>
      <c r="D146" s="3" t="s">
        <v>18</v>
      </c>
      <c r="E146" s="3" t="s">
        <v>126</v>
      </c>
      <c r="F146" s="3" t="s">
        <v>127</v>
      </c>
      <c r="G146" s="3" t="s">
        <v>411</v>
      </c>
      <c r="H146" s="8">
        <v>1</v>
      </c>
      <c r="I146" s="55" t="s">
        <v>13</v>
      </c>
      <c r="J146" s="20">
        <v>4</v>
      </c>
    </row>
    <row r="147" spans="1:10" x14ac:dyDescent="0.25">
      <c r="A147" s="2" t="s">
        <v>79</v>
      </c>
      <c r="B147" s="3" t="s">
        <v>15</v>
      </c>
      <c r="C147" s="3" t="s">
        <v>11</v>
      </c>
      <c r="D147" s="3" t="s">
        <v>18</v>
      </c>
      <c r="E147" s="3" t="s">
        <v>126</v>
      </c>
      <c r="F147" s="2" t="s">
        <v>127</v>
      </c>
      <c r="G147" s="3" t="s">
        <v>408</v>
      </c>
      <c r="H147" s="8">
        <v>1</v>
      </c>
      <c r="I147" s="55" t="s">
        <v>13</v>
      </c>
      <c r="J147" s="20">
        <v>1</v>
      </c>
    </row>
    <row r="148" spans="1:10" x14ac:dyDescent="0.25">
      <c r="A148" s="2">
        <v>1749</v>
      </c>
      <c r="B148" s="3" t="s">
        <v>15</v>
      </c>
      <c r="C148" s="3" t="s">
        <v>11</v>
      </c>
      <c r="D148" s="3" t="s">
        <v>18</v>
      </c>
      <c r="E148" s="3" t="s">
        <v>126</v>
      </c>
      <c r="F148" s="3" t="s">
        <v>136</v>
      </c>
      <c r="G148" s="7" t="s">
        <v>315</v>
      </c>
      <c r="H148" s="8">
        <v>1</v>
      </c>
      <c r="I148" s="55" t="s">
        <v>16</v>
      </c>
      <c r="J148" s="20">
        <v>6</v>
      </c>
    </row>
    <row r="149" spans="1:10" x14ac:dyDescent="0.25">
      <c r="A149" s="2" t="s">
        <v>115</v>
      </c>
      <c r="B149" s="3" t="s">
        <v>15</v>
      </c>
      <c r="C149" s="3" t="s">
        <v>11</v>
      </c>
      <c r="D149" s="3" t="s">
        <v>18</v>
      </c>
      <c r="E149" s="3" t="s">
        <v>126</v>
      </c>
      <c r="F149" s="3" t="s">
        <v>136</v>
      </c>
      <c r="G149" s="7" t="s">
        <v>315</v>
      </c>
      <c r="H149" s="8">
        <v>1</v>
      </c>
      <c r="I149" s="55" t="s">
        <v>16</v>
      </c>
      <c r="J149" s="20">
        <v>1</v>
      </c>
    </row>
    <row r="150" spans="1:10" x14ac:dyDescent="0.25">
      <c r="A150" s="2" t="s">
        <v>137</v>
      </c>
      <c r="B150" s="3" t="s">
        <v>15</v>
      </c>
      <c r="C150" s="3" t="s">
        <v>11</v>
      </c>
      <c r="D150" s="3" t="s">
        <v>18</v>
      </c>
      <c r="E150" s="3" t="s">
        <v>126</v>
      </c>
      <c r="F150" s="3" t="s">
        <v>136</v>
      </c>
      <c r="G150" s="3" t="s">
        <v>314</v>
      </c>
      <c r="H150" s="8">
        <v>2</v>
      </c>
      <c r="I150" s="55" t="s">
        <v>16</v>
      </c>
      <c r="J150" s="20">
        <v>4</v>
      </c>
    </row>
    <row r="151" spans="1:10" ht="15" customHeight="1" x14ac:dyDescent="0.25">
      <c r="A151" s="10" t="s">
        <v>352</v>
      </c>
      <c r="B151" s="3" t="s">
        <v>15</v>
      </c>
      <c r="C151" s="3" t="s">
        <v>11</v>
      </c>
      <c r="D151" s="3" t="s">
        <v>18</v>
      </c>
      <c r="E151" s="3" t="s">
        <v>126</v>
      </c>
      <c r="F151" s="3" t="s">
        <v>136</v>
      </c>
      <c r="G151" s="3" t="s">
        <v>314</v>
      </c>
      <c r="H151" s="8">
        <v>1</v>
      </c>
      <c r="I151" s="55" t="s">
        <v>16</v>
      </c>
      <c r="J151" s="20">
        <v>2</v>
      </c>
    </row>
    <row r="152" spans="1:10" x14ac:dyDescent="0.25">
      <c r="A152" s="2" t="s">
        <v>138</v>
      </c>
      <c r="B152" s="3" t="s">
        <v>15</v>
      </c>
      <c r="C152" s="3" t="s">
        <v>11</v>
      </c>
      <c r="D152" s="3" t="s">
        <v>18</v>
      </c>
      <c r="E152" s="3" t="s">
        <v>126</v>
      </c>
      <c r="F152" s="3" t="s">
        <v>136</v>
      </c>
      <c r="G152" s="3" t="s">
        <v>314</v>
      </c>
      <c r="H152" s="8">
        <v>1</v>
      </c>
      <c r="I152" s="55" t="s">
        <v>16</v>
      </c>
      <c r="J152" s="20">
        <v>2</v>
      </c>
    </row>
    <row r="153" spans="1:10" x14ac:dyDescent="0.25">
      <c r="A153" s="2" t="s">
        <v>125</v>
      </c>
      <c r="B153" s="3" t="s">
        <v>15</v>
      </c>
      <c r="C153" s="3" t="s">
        <v>11</v>
      </c>
      <c r="D153" s="3" t="s">
        <v>18</v>
      </c>
      <c r="E153" s="3" t="s">
        <v>112</v>
      </c>
      <c r="F153" s="2" t="s">
        <v>139</v>
      </c>
      <c r="G153" s="7" t="s">
        <v>337</v>
      </c>
      <c r="H153" s="11">
        <v>1</v>
      </c>
      <c r="I153" s="55" t="s">
        <v>16</v>
      </c>
      <c r="J153" s="20">
        <v>3</v>
      </c>
    </row>
    <row r="154" spans="1:10" x14ac:dyDescent="0.25">
      <c r="A154" s="14" t="s">
        <v>128</v>
      </c>
      <c r="B154" s="3" t="s">
        <v>15</v>
      </c>
      <c r="C154" s="3" t="s">
        <v>11</v>
      </c>
      <c r="D154" s="3" t="s">
        <v>18</v>
      </c>
      <c r="E154" s="3" t="s">
        <v>112</v>
      </c>
      <c r="F154" s="2" t="s">
        <v>139</v>
      </c>
      <c r="G154" s="7" t="s">
        <v>337</v>
      </c>
      <c r="H154" s="8">
        <v>4</v>
      </c>
      <c r="I154" s="55" t="s">
        <v>13</v>
      </c>
      <c r="J154" s="20">
        <v>4</v>
      </c>
    </row>
    <row r="155" spans="1:10" x14ac:dyDescent="0.25">
      <c r="A155" s="2" t="s">
        <v>144</v>
      </c>
      <c r="B155" s="3" t="s">
        <v>15</v>
      </c>
      <c r="C155" s="3" t="s">
        <v>11</v>
      </c>
      <c r="D155" s="3" t="s">
        <v>18</v>
      </c>
      <c r="E155" s="3" t="s">
        <v>126</v>
      </c>
      <c r="F155" s="2" t="s">
        <v>139</v>
      </c>
      <c r="G155" s="3" t="s">
        <v>140</v>
      </c>
      <c r="H155" s="8">
        <v>1</v>
      </c>
      <c r="I155" s="55" t="s">
        <v>16</v>
      </c>
      <c r="J155" s="20">
        <v>1</v>
      </c>
    </row>
    <row r="156" spans="1:10" x14ac:dyDescent="0.25">
      <c r="A156" s="2" t="s">
        <v>152</v>
      </c>
      <c r="B156" s="3" t="s">
        <v>10</v>
      </c>
      <c r="C156" s="3" t="s">
        <v>11</v>
      </c>
      <c r="D156" s="3" t="s">
        <v>18</v>
      </c>
      <c r="E156" s="3" t="s">
        <v>126</v>
      </c>
      <c r="F156" s="2" t="s">
        <v>139</v>
      </c>
      <c r="G156" s="3" t="s">
        <v>140</v>
      </c>
      <c r="H156" s="8">
        <v>1</v>
      </c>
      <c r="I156" s="55" t="s">
        <v>16</v>
      </c>
      <c r="J156" s="20">
        <v>1</v>
      </c>
    </row>
    <row r="157" spans="1:10" x14ac:dyDescent="0.25">
      <c r="A157" s="2" t="s">
        <v>95</v>
      </c>
      <c r="B157" s="3" t="s">
        <v>15</v>
      </c>
      <c r="C157" s="3" t="s">
        <v>11</v>
      </c>
      <c r="D157" s="3" t="s">
        <v>18</v>
      </c>
      <c r="E157" s="3" t="s">
        <v>126</v>
      </c>
      <c r="F157" s="2" t="s">
        <v>139</v>
      </c>
      <c r="G157" s="3" t="s">
        <v>140</v>
      </c>
      <c r="H157" s="8">
        <v>1</v>
      </c>
      <c r="I157" s="55" t="s">
        <v>13</v>
      </c>
      <c r="J157" s="20">
        <v>3</v>
      </c>
    </row>
    <row r="158" spans="1:10" x14ac:dyDescent="0.25">
      <c r="A158" s="2" t="s">
        <v>141</v>
      </c>
      <c r="B158" s="3" t="s">
        <v>10</v>
      </c>
      <c r="C158" s="3" t="s">
        <v>11</v>
      </c>
      <c r="D158" s="3" t="s">
        <v>18</v>
      </c>
      <c r="E158" s="3" t="s">
        <v>126</v>
      </c>
      <c r="F158" s="2" t="s">
        <v>139</v>
      </c>
      <c r="G158" s="3" t="s">
        <v>140</v>
      </c>
      <c r="H158" s="8">
        <v>1</v>
      </c>
      <c r="I158" s="55" t="s">
        <v>13</v>
      </c>
      <c r="J158" s="20">
        <v>4</v>
      </c>
    </row>
    <row r="159" spans="1:10" x14ac:dyDescent="0.25">
      <c r="A159" s="2">
        <v>1264</v>
      </c>
      <c r="B159" s="3" t="s">
        <v>10</v>
      </c>
      <c r="C159" s="3" t="s">
        <v>11</v>
      </c>
      <c r="D159" s="3" t="s">
        <v>18</v>
      </c>
      <c r="E159" s="3" t="s">
        <v>126</v>
      </c>
      <c r="F159" s="2" t="s">
        <v>139</v>
      </c>
      <c r="G159" s="3" t="s">
        <v>140</v>
      </c>
      <c r="H159" s="8">
        <v>2</v>
      </c>
      <c r="I159" s="55" t="s">
        <v>16</v>
      </c>
      <c r="J159" s="20">
        <v>5</v>
      </c>
    </row>
    <row r="160" spans="1:10" x14ac:dyDescent="0.25">
      <c r="A160" s="2">
        <v>1320</v>
      </c>
      <c r="B160" s="3" t="s">
        <v>15</v>
      </c>
      <c r="C160" s="3" t="s">
        <v>11</v>
      </c>
      <c r="D160" s="3" t="s">
        <v>18</v>
      </c>
      <c r="E160" s="3" t="s">
        <v>126</v>
      </c>
      <c r="F160" s="2" t="s">
        <v>139</v>
      </c>
      <c r="G160" s="3" t="s">
        <v>140</v>
      </c>
      <c r="H160" s="8">
        <v>1</v>
      </c>
      <c r="I160" s="55" t="s">
        <v>13</v>
      </c>
      <c r="J160" s="20">
        <v>5</v>
      </c>
    </row>
    <row r="161" spans="1:10" x14ac:dyDescent="0.25">
      <c r="A161" s="2">
        <v>1653</v>
      </c>
      <c r="B161" s="3" t="s">
        <v>15</v>
      </c>
      <c r="C161" s="3" t="s">
        <v>11</v>
      </c>
      <c r="D161" s="3" t="s">
        <v>18</v>
      </c>
      <c r="E161" s="3" t="s">
        <v>126</v>
      </c>
      <c r="F161" s="2" t="s">
        <v>139</v>
      </c>
      <c r="G161" s="3" t="s">
        <v>140</v>
      </c>
      <c r="H161" s="8">
        <v>1</v>
      </c>
      <c r="I161" s="55" t="s">
        <v>13</v>
      </c>
      <c r="J161" s="20">
        <v>6</v>
      </c>
    </row>
    <row r="162" spans="1:10" x14ac:dyDescent="0.25">
      <c r="A162" s="2" t="s">
        <v>142</v>
      </c>
      <c r="B162" s="3" t="s">
        <v>10</v>
      </c>
      <c r="C162" s="3" t="s">
        <v>11</v>
      </c>
      <c r="D162" s="3" t="s">
        <v>18</v>
      </c>
      <c r="E162" s="3" t="s">
        <v>126</v>
      </c>
      <c r="F162" s="2" t="s">
        <v>139</v>
      </c>
      <c r="G162" s="3" t="s">
        <v>140</v>
      </c>
      <c r="H162" s="8">
        <v>1</v>
      </c>
      <c r="I162" s="55" t="s">
        <v>16</v>
      </c>
      <c r="J162" s="20">
        <v>5</v>
      </c>
    </row>
    <row r="163" spans="1:10" x14ac:dyDescent="0.25">
      <c r="A163" s="2" t="s">
        <v>143</v>
      </c>
      <c r="B163" s="3" t="s">
        <v>15</v>
      </c>
      <c r="C163" s="3" t="s">
        <v>11</v>
      </c>
      <c r="D163" s="3" t="s">
        <v>18</v>
      </c>
      <c r="E163" s="3" t="s">
        <v>126</v>
      </c>
      <c r="F163" s="2" t="s">
        <v>139</v>
      </c>
      <c r="G163" s="3" t="s">
        <v>140</v>
      </c>
      <c r="H163" s="8">
        <v>1</v>
      </c>
      <c r="I163" s="55" t="s">
        <v>13</v>
      </c>
      <c r="J163" s="20">
        <v>5</v>
      </c>
    </row>
    <row r="164" spans="1:10" x14ac:dyDescent="0.25">
      <c r="A164" s="2" t="s">
        <v>144</v>
      </c>
      <c r="B164" s="3" t="s">
        <v>15</v>
      </c>
      <c r="C164" s="3" t="s">
        <v>11</v>
      </c>
      <c r="D164" s="3" t="s">
        <v>18</v>
      </c>
      <c r="E164" s="3" t="s">
        <v>126</v>
      </c>
      <c r="F164" s="2" t="s">
        <v>139</v>
      </c>
      <c r="G164" s="3" t="s">
        <v>140</v>
      </c>
      <c r="H164" s="8">
        <v>1</v>
      </c>
      <c r="I164" s="55" t="s">
        <v>16</v>
      </c>
      <c r="J164" s="20">
        <v>1</v>
      </c>
    </row>
    <row r="165" spans="1:10" x14ac:dyDescent="0.25">
      <c r="A165" s="2" t="s">
        <v>145</v>
      </c>
      <c r="B165" s="3" t="s">
        <v>15</v>
      </c>
      <c r="C165" s="3" t="s">
        <v>11</v>
      </c>
      <c r="D165" s="3" t="s">
        <v>18</v>
      </c>
      <c r="E165" s="3" t="s">
        <v>126</v>
      </c>
      <c r="F165" s="2" t="s">
        <v>139</v>
      </c>
      <c r="G165" s="3" t="s">
        <v>140</v>
      </c>
      <c r="H165" s="8">
        <v>1</v>
      </c>
      <c r="I165" s="55" t="s">
        <v>13</v>
      </c>
      <c r="J165" s="20">
        <v>6</v>
      </c>
    </row>
    <row r="166" spans="1:10" x14ac:dyDescent="0.25">
      <c r="A166" s="2" t="s">
        <v>102</v>
      </c>
      <c r="B166" s="3" t="s">
        <v>15</v>
      </c>
      <c r="C166" s="3" t="s">
        <v>11</v>
      </c>
      <c r="D166" s="3" t="s">
        <v>18</v>
      </c>
      <c r="E166" s="3" t="s">
        <v>126</v>
      </c>
      <c r="F166" s="2" t="s">
        <v>139</v>
      </c>
      <c r="G166" s="3" t="s">
        <v>140</v>
      </c>
      <c r="H166" s="8">
        <v>1</v>
      </c>
      <c r="I166" s="55" t="s">
        <v>13</v>
      </c>
      <c r="J166" s="20">
        <v>6</v>
      </c>
    </row>
    <row r="167" spans="1:10" x14ac:dyDescent="0.25">
      <c r="A167" s="2" t="s">
        <v>157</v>
      </c>
      <c r="B167" s="3" t="s">
        <v>15</v>
      </c>
      <c r="C167" s="3" t="s">
        <v>11</v>
      </c>
      <c r="D167" s="3" t="s">
        <v>18</v>
      </c>
      <c r="E167" s="3" t="s">
        <v>126</v>
      </c>
      <c r="F167" s="2" t="s">
        <v>139</v>
      </c>
      <c r="G167" s="3" t="s">
        <v>140</v>
      </c>
      <c r="H167" s="8">
        <v>1</v>
      </c>
      <c r="I167" s="55" t="s">
        <v>13</v>
      </c>
      <c r="J167" s="20">
        <v>6</v>
      </c>
    </row>
    <row r="168" spans="1:10" x14ac:dyDescent="0.25">
      <c r="A168" s="2" t="s">
        <v>47</v>
      </c>
      <c r="B168" s="3" t="s">
        <v>15</v>
      </c>
      <c r="C168" s="3" t="s">
        <v>11</v>
      </c>
      <c r="D168" s="3" t="s">
        <v>18</v>
      </c>
      <c r="E168" s="3" t="s">
        <v>126</v>
      </c>
      <c r="F168" s="2" t="s">
        <v>139</v>
      </c>
      <c r="G168" s="3" t="s">
        <v>147</v>
      </c>
      <c r="H168" s="8">
        <v>1</v>
      </c>
      <c r="I168" s="55" t="s">
        <v>13</v>
      </c>
      <c r="J168" s="20">
        <v>4</v>
      </c>
    </row>
    <row r="169" spans="1:10" x14ac:dyDescent="0.25">
      <c r="A169" s="2" t="s">
        <v>146</v>
      </c>
      <c r="B169" s="3" t="s">
        <v>15</v>
      </c>
      <c r="C169" s="3" t="s">
        <v>11</v>
      </c>
      <c r="D169" s="3" t="s">
        <v>18</v>
      </c>
      <c r="E169" s="3" t="s">
        <v>126</v>
      </c>
      <c r="F169" s="2" t="s">
        <v>139</v>
      </c>
      <c r="G169" s="3" t="s">
        <v>147</v>
      </c>
      <c r="H169" s="8">
        <v>1</v>
      </c>
      <c r="I169" s="55" t="s">
        <v>13</v>
      </c>
      <c r="J169" s="20">
        <v>6</v>
      </c>
    </row>
    <row r="170" spans="1:10" x14ac:dyDescent="0.25">
      <c r="A170" s="2" t="s">
        <v>148</v>
      </c>
      <c r="B170" s="3" t="s">
        <v>10</v>
      </c>
      <c r="C170" s="3" t="s">
        <v>11</v>
      </c>
      <c r="D170" s="3" t="s">
        <v>18</v>
      </c>
      <c r="E170" s="3" t="s">
        <v>126</v>
      </c>
      <c r="F170" s="2" t="s">
        <v>139</v>
      </c>
      <c r="G170" s="3" t="s">
        <v>147</v>
      </c>
      <c r="H170" s="8">
        <v>1</v>
      </c>
      <c r="I170" s="55" t="s">
        <v>16</v>
      </c>
      <c r="J170" s="20">
        <v>5</v>
      </c>
    </row>
    <row r="171" spans="1:10" x14ac:dyDescent="0.25">
      <c r="A171" s="2" t="s">
        <v>149</v>
      </c>
      <c r="B171" s="3" t="s">
        <v>10</v>
      </c>
      <c r="C171" s="3" t="s">
        <v>11</v>
      </c>
      <c r="D171" s="3" t="s">
        <v>18</v>
      </c>
      <c r="E171" s="3" t="s">
        <v>126</v>
      </c>
      <c r="F171" s="2" t="s">
        <v>139</v>
      </c>
      <c r="G171" s="3" t="s">
        <v>150</v>
      </c>
      <c r="H171" s="8">
        <v>1</v>
      </c>
      <c r="I171" s="55" t="s">
        <v>16</v>
      </c>
      <c r="J171" s="20">
        <v>1</v>
      </c>
    </row>
    <row r="172" spans="1:10" x14ac:dyDescent="0.25">
      <c r="A172" s="2" t="s">
        <v>151</v>
      </c>
      <c r="B172" s="3" t="s">
        <v>15</v>
      </c>
      <c r="C172" s="3" t="s">
        <v>11</v>
      </c>
      <c r="D172" s="3" t="s">
        <v>18</v>
      </c>
      <c r="E172" s="3" t="s">
        <v>126</v>
      </c>
      <c r="F172" s="2" t="s">
        <v>139</v>
      </c>
      <c r="G172" s="3" t="s">
        <v>338</v>
      </c>
      <c r="H172" s="8">
        <v>1</v>
      </c>
      <c r="I172" s="55" t="s">
        <v>13</v>
      </c>
      <c r="J172" s="20">
        <v>6</v>
      </c>
    </row>
    <row r="173" spans="1:10" x14ac:dyDescent="0.25">
      <c r="A173" s="2" t="s">
        <v>152</v>
      </c>
      <c r="B173" s="3" t="s">
        <v>10</v>
      </c>
      <c r="C173" s="3" t="s">
        <v>11</v>
      </c>
      <c r="D173" s="3" t="s">
        <v>18</v>
      </c>
      <c r="E173" s="3" t="s">
        <v>126</v>
      </c>
      <c r="F173" s="2" t="s">
        <v>139</v>
      </c>
      <c r="G173" s="3" t="s">
        <v>412</v>
      </c>
      <c r="H173" s="8">
        <v>1</v>
      </c>
      <c r="I173" s="55" t="s">
        <v>16</v>
      </c>
      <c r="J173" s="20">
        <v>1</v>
      </c>
    </row>
    <row r="174" spans="1:10" x14ac:dyDescent="0.25">
      <c r="A174" s="2" t="s">
        <v>268</v>
      </c>
      <c r="B174" s="3" t="s">
        <v>15</v>
      </c>
      <c r="C174" s="3" t="s">
        <v>11</v>
      </c>
      <c r="D174" s="3" t="s">
        <v>18</v>
      </c>
      <c r="E174" s="3" t="s">
        <v>126</v>
      </c>
      <c r="F174" s="2" t="s">
        <v>139</v>
      </c>
      <c r="G174" s="3" t="s">
        <v>412</v>
      </c>
      <c r="H174" s="8">
        <v>3</v>
      </c>
      <c r="I174" s="55" t="s">
        <v>13</v>
      </c>
      <c r="J174" s="20">
        <v>4</v>
      </c>
    </row>
    <row r="175" spans="1:10" x14ac:dyDescent="0.25">
      <c r="A175" s="2">
        <v>1672</v>
      </c>
      <c r="B175" s="3" t="s">
        <v>15</v>
      </c>
      <c r="C175" s="3" t="s">
        <v>11</v>
      </c>
      <c r="D175" s="3" t="s">
        <v>18</v>
      </c>
      <c r="E175" s="3" t="s">
        <v>126</v>
      </c>
      <c r="F175" s="2" t="s">
        <v>139</v>
      </c>
      <c r="G175" s="3" t="s">
        <v>140</v>
      </c>
      <c r="H175" s="8">
        <v>1</v>
      </c>
      <c r="I175" s="55" t="s">
        <v>13</v>
      </c>
      <c r="J175" s="20">
        <v>6</v>
      </c>
    </row>
    <row r="176" spans="1:10" x14ac:dyDescent="0.25">
      <c r="A176" s="21">
        <v>1282</v>
      </c>
      <c r="B176" s="3" t="s">
        <v>10</v>
      </c>
      <c r="C176" s="3" t="s">
        <v>11</v>
      </c>
      <c r="D176" s="3" t="s">
        <v>18</v>
      </c>
      <c r="E176" s="3" t="s">
        <v>126</v>
      </c>
      <c r="F176" s="2" t="s">
        <v>139</v>
      </c>
      <c r="G176" s="3" t="s">
        <v>412</v>
      </c>
      <c r="H176" s="8">
        <v>1</v>
      </c>
      <c r="I176" s="55" t="s">
        <v>16</v>
      </c>
      <c r="J176" s="20">
        <v>5</v>
      </c>
    </row>
    <row r="177" spans="1:10" ht="15" customHeight="1" x14ac:dyDescent="0.25">
      <c r="A177" s="10" t="s">
        <v>266</v>
      </c>
      <c r="B177" s="3" t="s">
        <v>15</v>
      </c>
      <c r="C177" s="3" t="s">
        <v>11</v>
      </c>
      <c r="D177" s="3" t="s">
        <v>18</v>
      </c>
      <c r="E177" s="3" t="s">
        <v>126</v>
      </c>
      <c r="F177" s="2" t="s">
        <v>139</v>
      </c>
      <c r="G177" s="3" t="s">
        <v>412</v>
      </c>
      <c r="H177" s="8">
        <v>4</v>
      </c>
      <c r="I177" s="55" t="s">
        <v>13</v>
      </c>
      <c r="J177" s="20">
        <v>4</v>
      </c>
    </row>
    <row r="178" spans="1:10" x14ac:dyDescent="0.25">
      <c r="A178" s="2" t="s">
        <v>133</v>
      </c>
      <c r="B178" s="3" t="s">
        <v>15</v>
      </c>
      <c r="C178" s="3" t="s">
        <v>11</v>
      </c>
      <c r="D178" s="3" t="s">
        <v>18</v>
      </c>
      <c r="E178" s="3" t="s">
        <v>126</v>
      </c>
      <c r="F178" s="2" t="s">
        <v>139</v>
      </c>
      <c r="G178" s="3" t="s">
        <v>412</v>
      </c>
      <c r="H178" s="8">
        <v>3</v>
      </c>
      <c r="I178" s="55" t="s">
        <v>13</v>
      </c>
      <c r="J178" s="20">
        <v>4</v>
      </c>
    </row>
    <row r="179" spans="1:10" x14ac:dyDescent="0.25">
      <c r="A179" s="2" t="s">
        <v>32</v>
      </c>
      <c r="B179" s="3" t="s">
        <v>10</v>
      </c>
      <c r="C179" s="3" t="s">
        <v>11</v>
      </c>
      <c r="D179" s="3" t="s">
        <v>18</v>
      </c>
      <c r="E179" s="3" t="s">
        <v>153</v>
      </c>
      <c r="F179" s="2" t="s">
        <v>154</v>
      </c>
      <c r="G179" s="3" t="s">
        <v>155</v>
      </c>
      <c r="H179" s="8">
        <v>2</v>
      </c>
      <c r="I179" s="55" t="s">
        <v>16</v>
      </c>
      <c r="J179" s="20">
        <v>2</v>
      </c>
    </row>
    <row r="180" spans="1:10" x14ac:dyDescent="0.25">
      <c r="A180" s="2" t="s">
        <v>156</v>
      </c>
      <c r="B180" s="3" t="s">
        <v>10</v>
      </c>
      <c r="C180" s="3" t="s">
        <v>11</v>
      </c>
      <c r="D180" s="3" t="s">
        <v>18</v>
      </c>
      <c r="E180" s="3" t="s">
        <v>153</v>
      </c>
      <c r="F180" s="2" t="s">
        <v>154</v>
      </c>
      <c r="G180" s="3" t="s">
        <v>155</v>
      </c>
      <c r="H180" s="8">
        <v>1</v>
      </c>
      <c r="I180" s="55" t="s">
        <v>13</v>
      </c>
      <c r="J180" s="20">
        <v>3</v>
      </c>
    </row>
    <row r="181" spans="1:10" x14ac:dyDescent="0.25">
      <c r="A181" s="2" t="s">
        <v>157</v>
      </c>
      <c r="B181" s="3" t="s">
        <v>15</v>
      </c>
      <c r="C181" s="3" t="s">
        <v>11</v>
      </c>
      <c r="D181" s="3" t="s">
        <v>18</v>
      </c>
      <c r="E181" s="3" t="s">
        <v>153</v>
      </c>
      <c r="F181" s="2" t="s">
        <v>154</v>
      </c>
      <c r="G181" s="3" t="s">
        <v>155</v>
      </c>
      <c r="H181" s="8">
        <v>1</v>
      </c>
      <c r="I181" s="55" t="s">
        <v>13</v>
      </c>
      <c r="J181" s="20">
        <v>6</v>
      </c>
    </row>
    <row r="182" spans="1:10" x14ac:dyDescent="0.25">
      <c r="A182" s="2" t="s">
        <v>158</v>
      </c>
      <c r="B182" s="3" t="s">
        <v>10</v>
      </c>
      <c r="C182" s="3" t="s">
        <v>11</v>
      </c>
      <c r="D182" s="3" t="s">
        <v>18</v>
      </c>
      <c r="E182" s="3" t="s">
        <v>153</v>
      </c>
      <c r="F182" s="2" t="s">
        <v>154</v>
      </c>
      <c r="G182" s="3" t="s">
        <v>159</v>
      </c>
      <c r="H182" s="8">
        <v>1</v>
      </c>
      <c r="I182" s="55" t="s">
        <v>16</v>
      </c>
      <c r="J182" s="20">
        <v>2</v>
      </c>
    </row>
    <row r="183" spans="1:10" x14ac:dyDescent="0.25">
      <c r="A183" s="2" t="s">
        <v>269</v>
      </c>
      <c r="B183" s="3" t="s">
        <v>15</v>
      </c>
      <c r="C183" s="3" t="s">
        <v>11</v>
      </c>
      <c r="D183" s="3" t="s">
        <v>18</v>
      </c>
      <c r="E183" s="3" t="s">
        <v>153</v>
      </c>
      <c r="F183" s="2" t="s">
        <v>154</v>
      </c>
      <c r="G183" s="3" t="s">
        <v>161</v>
      </c>
      <c r="H183" s="8">
        <v>1</v>
      </c>
      <c r="I183" s="55" t="s">
        <v>16</v>
      </c>
      <c r="J183" s="20">
        <v>3</v>
      </c>
    </row>
    <row r="184" spans="1:10" x14ac:dyDescent="0.25">
      <c r="A184" s="2" t="s">
        <v>160</v>
      </c>
      <c r="B184" s="3" t="s">
        <v>10</v>
      </c>
      <c r="C184" s="3" t="s">
        <v>11</v>
      </c>
      <c r="D184" s="3" t="s">
        <v>18</v>
      </c>
      <c r="E184" s="3" t="s">
        <v>153</v>
      </c>
      <c r="F184" s="2" t="s">
        <v>154</v>
      </c>
      <c r="G184" s="3" t="s">
        <v>161</v>
      </c>
      <c r="H184" s="8">
        <v>2</v>
      </c>
      <c r="I184" s="55" t="s">
        <v>16</v>
      </c>
      <c r="J184" s="20">
        <v>2</v>
      </c>
    </row>
    <row r="185" spans="1:10" x14ac:dyDescent="0.25">
      <c r="A185" s="2">
        <v>1198</v>
      </c>
      <c r="B185" s="3" t="s">
        <v>10</v>
      </c>
      <c r="C185" s="3" t="s">
        <v>11</v>
      </c>
      <c r="D185" s="3" t="s">
        <v>18</v>
      </c>
      <c r="E185" s="3"/>
      <c r="F185" s="2" t="s">
        <v>270</v>
      </c>
      <c r="G185" s="3" t="s">
        <v>413</v>
      </c>
      <c r="H185" s="8">
        <v>1</v>
      </c>
      <c r="I185" s="55" t="s">
        <v>13</v>
      </c>
      <c r="J185" s="20">
        <v>5</v>
      </c>
    </row>
    <row r="186" spans="1:10" x14ac:dyDescent="0.25">
      <c r="A186" s="3" t="s">
        <v>173</v>
      </c>
      <c r="B186" s="3" t="s">
        <v>15</v>
      </c>
      <c r="C186" s="3" t="s">
        <v>11</v>
      </c>
      <c r="D186" s="3" t="s">
        <v>162</v>
      </c>
      <c r="E186" s="7" t="s">
        <v>271</v>
      </c>
      <c r="F186" s="7"/>
      <c r="G186" s="3" t="s">
        <v>416</v>
      </c>
      <c r="H186" s="11">
        <v>1</v>
      </c>
      <c r="I186" s="55" t="s">
        <v>16</v>
      </c>
      <c r="J186" s="20">
        <v>1</v>
      </c>
    </row>
    <row r="187" spans="1:10" x14ac:dyDescent="0.25">
      <c r="A187" s="3" t="s">
        <v>133</v>
      </c>
      <c r="B187" s="3" t="s">
        <v>15</v>
      </c>
      <c r="C187" s="3" t="s">
        <v>11</v>
      </c>
      <c r="D187" s="3" t="s">
        <v>162</v>
      </c>
      <c r="E187" s="7" t="s">
        <v>271</v>
      </c>
      <c r="F187" s="7"/>
      <c r="G187" s="3" t="s">
        <v>416</v>
      </c>
      <c r="H187" s="11">
        <v>1</v>
      </c>
      <c r="I187" s="55" t="s">
        <v>16</v>
      </c>
      <c r="J187" s="20">
        <v>4</v>
      </c>
    </row>
    <row r="188" spans="1:10" ht="15" customHeight="1" x14ac:dyDescent="0.25">
      <c r="A188" s="2" t="s">
        <v>353</v>
      </c>
      <c r="B188" s="3" t="s">
        <v>15</v>
      </c>
      <c r="C188" s="3" t="s">
        <v>11</v>
      </c>
      <c r="D188" s="3" t="s">
        <v>162</v>
      </c>
      <c r="E188" s="3" t="s">
        <v>163</v>
      </c>
      <c r="F188" s="3" t="s">
        <v>164</v>
      </c>
      <c r="G188" s="3" t="s">
        <v>417</v>
      </c>
      <c r="H188" s="8">
        <v>1</v>
      </c>
      <c r="I188" s="55" t="s">
        <v>16</v>
      </c>
      <c r="J188" s="20">
        <v>2</v>
      </c>
    </row>
    <row r="189" spans="1:10" x14ac:dyDescent="0.25">
      <c r="A189" s="2" t="s">
        <v>272</v>
      </c>
      <c r="B189" s="3" t="s">
        <v>10</v>
      </c>
      <c r="C189" s="3" t="s">
        <v>11</v>
      </c>
      <c r="D189" s="3" t="s">
        <v>162</v>
      </c>
      <c r="E189" s="3" t="s">
        <v>163</v>
      </c>
      <c r="F189" s="3" t="s">
        <v>164</v>
      </c>
      <c r="G189" s="3" t="s">
        <v>417</v>
      </c>
      <c r="H189" s="8">
        <v>2</v>
      </c>
      <c r="I189" s="55" t="s">
        <v>13</v>
      </c>
      <c r="J189" s="20">
        <v>4</v>
      </c>
    </row>
    <row r="190" spans="1:10" x14ac:dyDescent="0.25">
      <c r="A190" s="2" t="s">
        <v>165</v>
      </c>
      <c r="B190" s="3" t="s">
        <v>10</v>
      </c>
      <c r="C190" s="3" t="s">
        <v>11</v>
      </c>
      <c r="D190" s="3" t="s">
        <v>162</v>
      </c>
      <c r="E190" s="3" t="s">
        <v>163</v>
      </c>
      <c r="F190" s="3" t="s">
        <v>164</v>
      </c>
      <c r="G190" s="3" t="s">
        <v>417</v>
      </c>
      <c r="H190" s="8">
        <v>1</v>
      </c>
      <c r="I190" s="55" t="s">
        <v>16</v>
      </c>
      <c r="J190" s="20">
        <v>4</v>
      </c>
    </row>
    <row r="191" spans="1:10" x14ac:dyDescent="0.25">
      <c r="A191" s="2">
        <v>1182</v>
      </c>
      <c r="B191" s="3" t="s">
        <v>10</v>
      </c>
      <c r="C191" s="3" t="s">
        <v>11</v>
      </c>
      <c r="D191" s="3" t="s">
        <v>162</v>
      </c>
      <c r="E191" s="3" t="s">
        <v>163</v>
      </c>
      <c r="F191" s="3" t="s">
        <v>164</v>
      </c>
      <c r="G191" s="3" t="s">
        <v>417</v>
      </c>
      <c r="H191" s="8">
        <v>1</v>
      </c>
      <c r="I191" s="55" t="s">
        <v>13</v>
      </c>
      <c r="J191" s="20">
        <v>5</v>
      </c>
    </row>
    <row r="192" spans="1:10" x14ac:dyDescent="0.25">
      <c r="A192" s="2">
        <v>1682</v>
      </c>
      <c r="B192" s="3" t="s">
        <v>15</v>
      </c>
      <c r="C192" s="3" t="s">
        <v>11</v>
      </c>
      <c r="D192" s="3" t="s">
        <v>162</v>
      </c>
      <c r="E192" s="3" t="s">
        <v>163</v>
      </c>
      <c r="F192" s="3" t="s">
        <v>164</v>
      </c>
      <c r="G192" s="3" t="s">
        <v>417</v>
      </c>
      <c r="H192" s="8">
        <v>1</v>
      </c>
      <c r="I192" s="55" t="s">
        <v>13</v>
      </c>
      <c r="J192" s="20">
        <v>6</v>
      </c>
    </row>
    <row r="193" spans="1:10" x14ac:dyDescent="0.25">
      <c r="A193" s="2">
        <v>1325</v>
      </c>
      <c r="B193" s="3" t="s">
        <v>15</v>
      </c>
      <c r="C193" s="3" t="s">
        <v>11</v>
      </c>
      <c r="D193" s="3" t="s">
        <v>162</v>
      </c>
      <c r="E193" s="3" t="s">
        <v>163</v>
      </c>
      <c r="F193" s="3" t="s">
        <v>164</v>
      </c>
      <c r="G193" s="3" t="s">
        <v>417</v>
      </c>
      <c r="H193" s="8">
        <v>1</v>
      </c>
      <c r="I193" s="55" t="s">
        <v>13</v>
      </c>
      <c r="J193" s="20">
        <v>5</v>
      </c>
    </row>
    <row r="194" spans="1:10" x14ac:dyDescent="0.25">
      <c r="A194" s="2" t="s">
        <v>166</v>
      </c>
      <c r="B194" s="3" t="s">
        <v>15</v>
      </c>
      <c r="C194" s="3" t="s">
        <v>11</v>
      </c>
      <c r="D194" s="3" t="s">
        <v>162</v>
      </c>
      <c r="E194" s="3" t="s">
        <v>163</v>
      </c>
      <c r="F194" s="3" t="s">
        <v>164</v>
      </c>
      <c r="G194" s="3" t="s">
        <v>417</v>
      </c>
      <c r="H194" s="8">
        <v>1</v>
      </c>
      <c r="I194" s="55" t="s">
        <v>13</v>
      </c>
      <c r="J194" s="20">
        <v>6</v>
      </c>
    </row>
    <row r="195" spans="1:10" x14ac:dyDescent="0.25">
      <c r="A195" s="2" t="s">
        <v>167</v>
      </c>
      <c r="B195" s="3" t="s">
        <v>10</v>
      </c>
      <c r="C195" s="3" t="s">
        <v>11</v>
      </c>
      <c r="D195" s="3" t="s">
        <v>162</v>
      </c>
      <c r="E195" s="3" t="s">
        <v>163</v>
      </c>
      <c r="F195" s="2" t="s">
        <v>168</v>
      </c>
      <c r="G195" s="3" t="s">
        <v>418</v>
      </c>
      <c r="H195" s="8">
        <v>2</v>
      </c>
      <c r="I195" s="55" t="s">
        <v>16</v>
      </c>
      <c r="J195" s="20">
        <v>2</v>
      </c>
    </row>
    <row r="196" spans="1:10" x14ac:dyDescent="0.25">
      <c r="A196" s="2" t="s">
        <v>273</v>
      </c>
      <c r="B196" s="3" t="s">
        <v>15</v>
      </c>
      <c r="C196" s="3" t="s">
        <v>11</v>
      </c>
      <c r="D196" s="3" t="s">
        <v>162</v>
      </c>
      <c r="E196" s="3" t="s">
        <v>163</v>
      </c>
      <c r="F196" s="2" t="s">
        <v>168</v>
      </c>
      <c r="G196" s="3" t="s">
        <v>418</v>
      </c>
      <c r="H196" s="11">
        <v>1</v>
      </c>
      <c r="I196" s="55" t="s">
        <v>16</v>
      </c>
      <c r="J196" s="20">
        <v>4</v>
      </c>
    </row>
    <row r="197" spans="1:10" x14ac:dyDescent="0.25">
      <c r="A197" s="2" t="s">
        <v>274</v>
      </c>
      <c r="B197" s="3" t="s">
        <v>10</v>
      </c>
      <c r="C197" s="3" t="s">
        <v>11</v>
      </c>
      <c r="D197" s="3" t="s">
        <v>162</v>
      </c>
      <c r="E197" s="3" t="s">
        <v>163</v>
      </c>
      <c r="F197" s="2" t="s">
        <v>168</v>
      </c>
      <c r="G197" s="3" t="s">
        <v>418</v>
      </c>
      <c r="H197" s="11">
        <v>2</v>
      </c>
      <c r="I197" s="55" t="s">
        <v>16</v>
      </c>
      <c r="J197" s="20">
        <v>6</v>
      </c>
    </row>
    <row r="198" spans="1:10" x14ac:dyDescent="0.25">
      <c r="A198" s="2">
        <v>1793</v>
      </c>
      <c r="B198" s="3" t="s">
        <v>15</v>
      </c>
      <c r="C198" s="3" t="s">
        <v>11</v>
      </c>
      <c r="D198" s="3" t="s">
        <v>162</v>
      </c>
      <c r="E198" s="3" t="s">
        <v>163</v>
      </c>
      <c r="F198" s="2" t="s">
        <v>168</v>
      </c>
      <c r="G198" s="3" t="s">
        <v>418</v>
      </c>
      <c r="H198" s="8">
        <v>1</v>
      </c>
      <c r="I198" s="55" t="s">
        <v>16</v>
      </c>
      <c r="J198" s="20">
        <v>6</v>
      </c>
    </row>
    <row r="199" spans="1:10" x14ac:dyDescent="0.25">
      <c r="A199" s="2" t="s">
        <v>169</v>
      </c>
      <c r="B199" s="3" t="s">
        <v>15</v>
      </c>
      <c r="C199" s="3" t="s">
        <v>11</v>
      </c>
      <c r="D199" s="3" t="s">
        <v>162</v>
      </c>
      <c r="E199" s="3" t="s">
        <v>170</v>
      </c>
      <c r="F199" s="2" t="s">
        <v>171</v>
      </c>
      <c r="G199" s="3" t="s">
        <v>419</v>
      </c>
      <c r="H199" s="8">
        <v>1</v>
      </c>
      <c r="I199" s="55" t="s">
        <v>13</v>
      </c>
      <c r="J199" s="20">
        <v>4</v>
      </c>
    </row>
    <row r="200" spans="1:10" x14ac:dyDescent="0.25">
      <c r="A200" s="2">
        <v>1494</v>
      </c>
      <c r="B200" s="3" t="s">
        <v>10</v>
      </c>
      <c r="C200" s="3" t="s">
        <v>11</v>
      </c>
      <c r="D200" s="3" t="s">
        <v>162</v>
      </c>
      <c r="E200" s="3" t="s">
        <v>170</v>
      </c>
      <c r="F200" s="2" t="s">
        <v>171</v>
      </c>
      <c r="G200" s="3" t="s">
        <v>419</v>
      </c>
      <c r="H200" s="8">
        <v>1</v>
      </c>
      <c r="I200" s="55" t="s">
        <v>13</v>
      </c>
      <c r="J200" s="20">
        <v>6</v>
      </c>
    </row>
    <row r="201" spans="1:10" x14ac:dyDescent="0.25">
      <c r="A201" s="2">
        <v>1632</v>
      </c>
      <c r="B201" s="3" t="s">
        <v>15</v>
      </c>
      <c r="C201" s="3" t="s">
        <v>11</v>
      </c>
      <c r="D201" s="3" t="s">
        <v>162</v>
      </c>
      <c r="E201" s="3" t="s">
        <v>170</v>
      </c>
      <c r="F201" s="2" t="s">
        <v>171</v>
      </c>
      <c r="G201" s="3" t="s">
        <v>419</v>
      </c>
      <c r="H201" s="8">
        <v>1</v>
      </c>
      <c r="I201" s="55" t="s">
        <v>13</v>
      </c>
      <c r="J201" s="20">
        <v>6</v>
      </c>
    </row>
    <row r="202" spans="1:10" x14ac:dyDescent="0.25">
      <c r="A202" s="2">
        <v>1644</v>
      </c>
      <c r="B202" s="3" t="s">
        <v>15</v>
      </c>
      <c r="C202" s="3" t="s">
        <v>11</v>
      </c>
      <c r="D202" s="3" t="s">
        <v>162</v>
      </c>
      <c r="E202" s="3" t="s">
        <v>170</v>
      </c>
      <c r="F202" s="2" t="s">
        <v>171</v>
      </c>
      <c r="G202" s="3" t="s">
        <v>419</v>
      </c>
      <c r="H202" s="11">
        <v>1</v>
      </c>
      <c r="I202" s="55" t="s">
        <v>13</v>
      </c>
      <c r="J202" s="20">
        <v>6</v>
      </c>
    </row>
    <row r="203" spans="1:10" x14ac:dyDescent="0.25">
      <c r="A203" s="2" t="s">
        <v>172</v>
      </c>
      <c r="B203" s="3" t="s">
        <v>15</v>
      </c>
      <c r="C203" s="3" t="s">
        <v>11</v>
      </c>
      <c r="D203" s="3" t="s">
        <v>162</v>
      </c>
      <c r="E203" s="3" t="s">
        <v>170</v>
      </c>
      <c r="F203" s="2" t="s">
        <v>171</v>
      </c>
      <c r="G203" s="3" t="s">
        <v>419</v>
      </c>
      <c r="H203" s="8">
        <v>1</v>
      </c>
      <c r="I203" s="55" t="s">
        <v>16</v>
      </c>
      <c r="J203" s="20">
        <v>5</v>
      </c>
    </row>
    <row r="204" spans="1:10" x14ac:dyDescent="0.25">
      <c r="A204" s="2" t="s">
        <v>173</v>
      </c>
      <c r="B204" s="3" t="s">
        <v>15</v>
      </c>
      <c r="C204" s="3" t="s">
        <v>174</v>
      </c>
      <c r="D204" s="3" t="s">
        <v>175</v>
      </c>
      <c r="E204" s="3" t="s">
        <v>176</v>
      </c>
      <c r="F204" s="3" t="s">
        <v>177</v>
      </c>
      <c r="G204" s="3" t="s">
        <v>178</v>
      </c>
      <c r="H204" s="8">
        <v>3</v>
      </c>
      <c r="I204" s="55" t="s">
        <v>16</v>
      </c>
      <c r="J204" s="20">
        <v>1</v>
      </c>
    </row>
    <row r="205" spans="1:10" x14ac:dyDescent="0.25">
      <c r="A205" s="2" t="s">
        <v>275</v>
      </c>
      <c r="B205" s="3" t="s">
        <v>15</v>
      </c>
      <c r="C205" s="3" t="s">
        <v>174</v>
      </c>
      <c r="D205" s="3" t="s">
        <v>175</v>
      </c>
      <c r="E205" s="3" t="s">
        <v>176</v>
      </c>
      <c r="F205" s="3" t="s">
        <v>177</v>
      </c>
      <c r="G205" s="3" t="s">
        <v>178</v>
      </c>
      <c r="H205" s="8">
        <v>1</v>
      </c>
      <c r="I205" s="55" t="s">
        <v>16</v>
      </c>
      <c r="J205" s="20">
        <v>2</v>
      </c>
    </row>
    <row r="206" spans="1:10" x14ac:dyDescent="0.25">
      <c r="A206" s="2" t="s">
        <v>179</v>
      </c>
      <c r="B206" s="3" t="s">
        <v>10</v>
      </c>
      <c r="C206" s="3" t="s">
        <v>174</v>
      </c>
      <c r="D206" s="3" t="s">
        <v>175</v>
      </c>
      <c r="E206" s="3" t="s">
        <v>176</v>
      </c>
      <c r="F206" s="3" t="s">
        <v>177</v>
      </c>
      <c r="G206" s="3" t="s">
        <v>178</v>
      </c>
      <c r="H206" s="8">
        <v>1</v>
      </c>
      <c r="I206" s="55" t="s">
        <v>16</v>
      </c>
      <c r="J206" s="20">
        <v>1</v>
      </c>
    </row>
    <row r="207" spans="1:10" x14ac:dyDescent="0.25">
      <c r="A207" s="2" t="s">
        <v>180</v>
      </c>
      <c r="B207" s="3" t="s">
        <v>15</v>
      </c>
      <c r="C207" s="3" t="s">
        <v>174</v>
      </c>
      <c r="D207" s="3" t="s">
        <v>175</v>
      </c>
      <c r="E207" s="3" t="s">
        <v>176</v>
      </c>
      <c r="F207" s="3" t="s">
        <v>177</v>
      </c>
      <c r="G207" s="3" t="s">
        <v>178</v>
      </c>
      <c r="H207" s="8">
        <v>2</v>
      </c>
      <c r="I207" s="55" t="s">
        <v>13</v>
      </c>
      <c r="J207" s="20">
        <v>3</v>
      </c>
    </row>
    <row r="208" spans="1:10" x14ac:dyDescent="0.25">
      <c r="A208" s="2" t="s">
        <v>181</v>
      </c>
      <c r="B208" s="3" t="s">
        <v>15</v>
      </c>
      <c r="C208" s="3" t="s">
        <v>174</v>
      </c>
      <c r="D208" s="3" t="s">
        <v>175</v>
      </c>
      <c r="E208" s="3" t="s">
        <v>176</v>
      </c>
      <c r="F208" s="3" t="s">
        <v>177</v>
      </c>
      <c r="G208" s="3" t="s">
        <v>178</v>
      </c>
      <c r="H208" s="8">
        <v>3</v>
      </c>
      <c r="I208" s="55" t="s">
        <v>16</v>
      </c>
      <c r="J208" s="20">
        <v>3</v>
      </c>
    </row>
    <row r="209" spans="1:10" x14ac:dyDescent="0.25">
      <c r="A209" s="2" t="s">
        <v>182</v>
      </c>
      <c r="B209" s="3" t="s">
        <v>15</v>
      </c>
      <c r="C209" s="3" t="s">
        <v>174</v>
      </c>
      <c r="D209" s="3" t="s">
        <v>175</v>
      </c>
      <c r="E209" s="3" t="s">
        <v>176</v>
      </c>
      <c r="F209" s="3" t="s">
        <v>177</v>
      </c>
      <c r="G209" s="3" t="s">
        <v>178</v>
      </c>
      <c r="H209" s="8">
        <v>1</v>
      </c>
      <c r="I209" s="55" t="s">
        <v>16</v>
      </c>
      <c r="J209" s="20">
        <v>3</v>
      </c>
    </row>
    <row r="210" spans="1:10" x14ac:dyDescent="0.25">
      <c r="A210" s="2">
        <v>1147</v>
      </c>
      <c r="B210" s="3" t="s">
        <v>15</v>
      </c>
      <c r="C210" s="3" t="s">
        <v>174</v>
      </c>
      <c r="D210" s="3" t="s">
        <v>175</v>
      </c>
      <c r="E210" s="3" t="s">
        <v>176</v>
      </c>
      <c r="F210" s="3" t="s">
        <v>177</v>
      </c>
      <c r="G210" s="3" t="s">
        <v>178</v>
      </c>
      <c r="H210" s="8">
        <v>1</v>
      </c>
      <c r="I210" s="55" t="s">
        <v>16</v>
      </c>
      <c r="J210" s="20">
        <v>4</v>
      </c>
    </row>
    <row r="211" spans="1:10" x14ac:dyDescent="0.25">
      <c r="A211" s="2" t="s">
        <v>183</v>
      </c>
      <c r="B211" s="3" t="s">
        <v>10</v>
      </c>
      <c r="C211" s="3" t="s">
        <v>174</v>
      </c>
      <c r="D211" s="3" t="s">
        <v>175</v>
      </c>
      <c r="E211" s="3" t="s">
        <v>176</v>
      </c>
      <c r="F211" s="3" t="s">
        <v>177</v>
      </c>
      <c r="G211" s="3" t="s">
        <v>178</v>
      </c>
      <c r="H211" s="8">
        <v>1</v>
      </c>
      <c r="I211" s="55" t="s">
        <v>13</v>
      </c>
      <c r="J211" s="20">
        <v>5</v>
      </c>
    </row>
    <row r="212" spans="1:10" x14ac:dyDescent="0.25">
      <c r="A212" s="2" t="s">
        <v>184</v>
      </c>
      <c r="B212" s="3" t="s">
        <v>10</v>
      </c>
      <c r="C212" s="3" t="s">
        <v>174</v>
      </c>
      <c r="D212" s="3" t="s">
        <v>185</v>
      </c>
      <c r="E212" s="3" t="s">
        <v>186</v>
      </c>
      <c r="F212" s="3" t="s">
        <v>187</v>
      </c>
      <c r="G212" s="3" t="s">
        <v>188</v>
      </c>
      <c r="H212" s="8">
        <v>2</v>
      </c>
      <c r="I212" s="55" t="s">
        <v>16</v>
      </c>
      <c r="J212" s="20">
        <v>1</v>
      </c>
    </row>
    <row r="213" spans="1:10" x14ac:dyDescent="0.25">
      <c r="A213" s="2" t="s">
        <v>189</v>
      </c>
      <c r="B213" s="3" t="s">
        <v>10</v>
      </c>
      <c r="C213" s="3" t="s">
        <v>174</v>
      </c>
      <c r="D213" s="3" t="s">
        <v>185</v>
      </c>
      <c r="E213" s="3" t="s">
        <v>190</v>
      </c>
      <c r="F213" s="3" t="s">
        <v>191</v>
      </c>
      <c r="G213" s="3" t="s">
        <v>192</v>
      </c>
      <c r="H213" s="8">
        <v>1</v>
      </c>
      <c r="I213" s="55" t="s">
        <v>16</v>
      </c>
      <c r="J213" s="20">
        <v>1</v>
      </c>
    </row>
    <row r="214" spans="1:10" x14ac:dyDescent="0.25">
      <c r="A214" s="2" t="s">
        <v>182</v>
      </c>
      <c r="B214" s="3" t="s">
        <v>15</v>
      </c>
      <c r="C214" s="3" t="s">
        <v>174</v>
      </c>
      <c r="D214" s="3" t="s">
        <v>185</v>
      </c>
      <c r="E214" s="3" t="s">
        <v>190</v>
      </c>
      <c r="F214" s="3" t="s">
        <v>191</v>
      </c>
      <c r="G214" s="3" t="s">
        <v>192</v>
      </c>
      <c r="H214" s="8">
        <v>1</v>
      </c>
      <c r="I214" s="55" t="s">
        <v>16</v>
      </c>
      <c r="J214" s="20">
        <v>3</v>
      </c>
    </row>
    <row r="215" spans="1:10" x14ac:dyDescent="0.25">
      <c r="A215" s="2" t="s">
        <v>193</v>
      </c>
      <c r="B215" s="3" t="s">
        <v>10</v>
      </c>
      <c r="C215" s="3" t="s">
        <v>174</v>
      </c>
      <c r="D215" s="3" t="s">
        <v>185</v>
      </c>
      <c r="E215" s="3" t="s">
        <v>190</v>
      </c>
      <c r="F215" s="3" t="s">
        <v>191</v>
      </c>
      <c r="G215" s="3" t="s">
        <v>192</v>
      </c>
      <c r="H215" s="8">
        <v>1</v>
      </c>
      <c r="I215" s="55" t="s">
        <v>13</v>
      </c>
      <c r="J215" s="20">
        <v>4</v>
      </c>
    </row>
    <row r="216" spans="1:10" x14ac:dyDescent="0.25">
      <c r="A216" s="2" t="s">
        <v>194</v>
      </c>
      <c r="B216" s="3" t="s">
        <v>15</v>
      </c>
      <c r="C216" s="3" t="s">
        <v>174</v>
      </c>
      <c r="D216" s="3" t="s">
        <v>185</v>
      </c>
      <c r="E216" s="3" t="s">
        <v>190</v>
      </c>
      <c r="F216" s="3" t="s">
        <v>191</v>
      </c>
      <c r="G216" s="3" t="s">
        <v>192</v>
      </c>
      <c r="H216" s="8">
        <v>1</v>
      </c>
      <c r="I216" s="55" t="s">
        <v>16</v>
      </c>
      <c r="J216" s="20">
        <v>6</v>
      </c>
    </row>
    <row r="217" spans="1:10" x14ac:dyDescent="0.25">
      <c r="A217" s="2">
        <v>1204</v>
      </c>
      <c r="B217" s="3" t="s">
        <v>10</v>
      </c>
      <c r="C217" s="3" t="s">
        <v>174</v>
      </c>
      <c r="D217" s="3" t="s">
        <v>185</v>
      </c>
      <c r="E217" s="3" t="s">
        <v>190</v>
      </c>
      <c r="F217" s="3" t="s">
        <v>191</v>
      </c>
      <c r="G217" s="3" t="s">
        <v>192</v>
      </c>
      <c r="H217" s="8">
        <v>1</v>
      </c>
      <c r="I217" s="55" t="s">
        <v>13</v>
      </c>
      <c r="J217" s="20">
        <v>5</v>
      </c>
    </row>
    <row r="218" spans="1:10" x14ac:dyDescent="0.25">
      <c r="A218" s="2" t="s">
        <v>195</v>
      </c>
      <c r="B218" s="3" t="s">
        <v>10</v>
      </c>
      <c r="C218" s="3" t="s">
        <v>174</v>
      </c>
      <c r="D218" s="3" t="s">
        <v>185</v>
      </c>
      <c r="E218" s="3" t="s">
        <v>190</v>
      </c>
      <c r="F218" s="3" t="s">
        <v>191</v>
      </c>
      <c r="G218" s="3" t="s">
        <v>192</v>
      </c>
      <c r="H218" s="8">
        <v>1</v>
      </c>
      <c r="I218" s="55" t="s">
        <v>13</v>
      </c>
      <c r="J218" s="20">
        <v>1</v>
      </c>
    </row>
    <row r="219" spans="1:10" x14ac:dyDescent="0.25">
      <c r="A219" s="2" t="s">
        <v>196</v>
      </c>
      <c r="B219" s="3" t="s">
        <v>10</v>
      </c>
      <c r="C219" s="3" t="s">
        <v>174</v>
      </c>
      <c r="D219" s="3" t="s">
        <v>185</v>
      </c>
      <c r="E219" s="3" t="s">
        <v>190</v>
      </c>
      <c r="F219" s="3" t="s">
        <v>197</v>
      </c>
      <c r="G219" s="3" t="s">
        <v>192</v>
      </c>
      <c r="H219" s="8">
        <v>1</v>
      </c>
      <c r="I219" s="55" t="s">
        <v>13</v>
      </c>
      <c r="J219" s="20">
        <v>1</v>
      </c>
    </row>
    <row r="220" spans="1:10" x14ac:dyDescent="0.25">
      <c r="A220" s="2" t="s">
        <v>181</v>
      </c>
      <c r="B220" s="3" t="s">
        <v>15</v>
      </c>
      <c r="C220" s="3" t="s">
        <v>174</v>
      </c>
      <c r="D220" s="3" t="s">
        <v>185</v>
      </c>
      <c r="E220" s="3" t="s">
        <v>190</v>
      </c>
      <c r="F220" s="3" t="s">
        <v>197</v>
      </c>
      <c r="G220" s="3" t="s">
        <v>192</v>
      </c>
      <c r="H220" s="8">
        <v>3</v>
      </c>
      <c r="I220" s="55" t="s">
        <v>16</v>
      </c>
      <c r="J220" s="20">
        <v>3</v>
      </c>
    </row>
    <row r="221" spans="1:10" x14ac:dyDescent="0.25">
      <c r="A221" s="2" t="s">
        <v>276</v>
      </c>
      <c r="B221" s="3" t="s">
        <v>15</v>
      </c>
      <c r="C221" s="3" t="s">
        <v>174</v>
      </c>
      <c r="D221" s="3" t="s">
        <v>185</v>
      </c>
      <c r="E221" s="3" t="s">
        <v>190</v>
      </c>
      <c r="F221" s="3" t="s">
        <v>197</v>
      </c>
      <c r="G221" s="3" t="s">
        <v>192</v>
      </c>
      <c r="H221" s="8">
        <v>1</v>
      </c>
      <c r="I221" s="55" t="s">
        <v>13</v>
      </c>
      <c r="J221" s="20">
        <v>4</v>
      </c>
    </row>
    <row r="222" spans="1:10" x14ac:dyDescent="0.25">
      <c r="A222" s="2" t="s">
        <v>277</v>
      </c>
      <c r="B222" s="3" t="s">
        <v>15</v>
      </c>
      <c r="C222" s="3" t="s">
        <v>174</v>
      </c>
      <c r="D222" s="3" t="s">
        <v>185</v>
      </c>
      <c r="E222" s="3" t="s">
        <v>190</v>
      </c>
      <c r="F222" s="3" t="s">
        <v>197</v>
      </c>
      <c r="G222" s="3" t="s">
        <v>192</v>
      </c>
      <c r="H222" s="8">
        <v>1</v>
      </c>
      <c r="I222" s="55" t="s">
        <v>16</v>
      </c>
      <c r="J222" s="20">
        <v>4</v>
      </c>
    </row>
    <row r="223" spans="1:10" x14ac:dyDescent="0.25">
      <c r="A223" s="2" t="s">
        <v>198</v>
      </c>
      <c r="B223" s="3" t="s">
        <v>10</v>
      </c>
      <c r="C223" s="3" t="s">
        <v>174</v>
      </c>
      <c r="D223" s="3" t="s">
        <v>185</v>
      </c>
      <c r="E223" s="3" t="s">
        <v>199</v>
      </c>
      <c r="F223" s="3" t="s">
        <v>200</v>
      </c>
      <c r="G223" s="3" t="s">
        <v>201</v>
      </c>
      <c r="H223" s="8">
        <v>3</v>
      </c>
      <c r="I223" s="55" t="s">
        <v>16</v>
      </c>
      <c r="J223" s="20">
        <v>2</v>
      </c>
    </row>
    <row r="224" spans="1:10" x14ac:dyDescent="0.25">
      <c r="A224" s="2" t="s">
        <v>181</v>
      </c>
      <c r="B224" s="3" t="s">
        <v>15</v>
      </c>
      <c r="C224" s="3" t="s">
        <v>174</v>
      </c>
      <c r="D224" s="3" t="s">
        <v>185</v>
      </c>
      <c r="E224" s="3" t="s">
        <v>199</v>
      </c>
      <c r="F224" s="3" t="s">
        <v>200</v>
      </c>
      <c r="G224" s="3" t="s">
        <v>201</v>
      </c>
      <c r="H224" s="8">
        <v>5</v>
      </c>
      <c r="I224" s="55" t="s">
        <v>16</v>
      </c>
      <c r="J224" s="20">
        <v>3</v>
      </c>
    </row>
    <row r="225" spans="1:10" x14ac:dyDescent="0.25">
      <c r="A225" s="2">
        <v>1439</v>
      </c>
      <c r="B225" s="3" t="s">
        <v>15</v>
      </c>
      <c r="C225" s="3" t="s">
        <v>174</v>
      </c>
      <c r="D225" s="3" t="s">
        <v>185</v>
      </c>
      <c r="E225" s="3" t="s">
        <v>199</v>
      </c>
      <c r="F225" s="3" t="s">
        <v>200</v>
      </c>
      <c r="G225" s="3" t="s">
        <v>201</v>
      </c>
      <c r="H225" s="8">
        <v>1</v>
      </c>
      <c r="I225" s="55" t="s">
        <v>16</v>
      </c>
      <c r="J225" s="20">
        <v>5</v>
      </c>
    </row>
    <row r="226" spans="1:10" x14ac:dyDescent="0.25">
      <c r="A226" s="2">
        <v>1596</v>
      </c>
      <c r="B226" s="3" t="s">
        <v>10</v>
      </c>
      <c r="C226" s="3" t="s">
        <v>174</v>
      </c>
      <c r="D226" s="3" t="s">
        <v>185</v>
      </c>
      <c r="E226" s="3" t="s">
        <v>199</v>
      </c>
      <c r="F226" s="3" t="s">
        <v>200</v>
      </c>
      <c r="G226" s="3" t="s">
        <v>201</v>
      </c>
      <c r="H226" s="8">
        <v>1</v>
      </c>
      <c r="I226" s="55" t="s">
        <v>16</v>
      </c>
      <c r="J226" s="20">
        <v>6</v>
      </c>
    </row>
    <row r="227" spans="1:10" x14ac:dyDescent="0.25">
      <c r="A227" s="2" t="s">
        <v>202</v>
      </c>
      <c r="B227" s="3" t="s">
        <v>10</v>
      </c>
      <c r="C227" s="3" t="s">
        <v>174</v>
      </c>
      <c r="D227" s="3" t="s">
        <v>185</v>
      </c>
      <c r="E227" s="3" t="s">
        <v>199</v>
      </c>
      <c r="F227" s="3" t="s">
        <v>200</v>
      </c>
      <c r="G227" s="3" t="s">
        <v>203</v>
      </c>
      <c r="H227" s="8">
        <v>4</v>
      </c>
      <c r="I227" s="55" t="s">
        <v>16</v>
      </c>
      <c r="J227" s="20">
        <v>2</v>
      </c>
    </row>
    <row r="228" spans="1:10" x14ac:dyDescent="0.25">
      <c r="A228" s="2" t="s">
        <v>339</v>
      </c>
      <c r="B228" s="3" t="s">
        <v>15</v>
      </c>
      <c r="C228" s="3" t="s">
        <v>174</v>
      </c>
      <c r="D228" s="3" t="s">
        <v>185</v>
      </c>
      <c r="E228" s="3" t="s">
        <v>199</v>
      </c>
      <c r="F228" s="3" t="s">
        <v>200</v>
      </c>
      <c r="G228" s="3" t="s">
        <v>203</v>
      </c>
      <c r="H228" s="8">
        <v>1</v>
      </c>
      <c r="I228" s="55" t="s">
        <v>16</v>
      </c>
      <c r="J228" s="18">
        <v>3</v>
      </c>
    </row>
    <row r="229" spans="1:10" x14ac:dyDescent="0.25">
      <c r="A229" s="2">
        <v>1793</v>
      </c>
      <c r="B229" s="3" t="s">
        <v>15</v>
      </c>
      <c r="C229" s="3" t="s">
        <v>174</v>
      </c>
      <c r="D229" s="3" t="s">
        <v>185</v>
      </c>
      <c r="E229" s="3" t="s">
        <v>199</v>
      </c>
      <c r="F229" s="3" t="s">
        <v>200</v>
      </c>
      <c r="G229" s="3" t="s">
        <v>204</v>
      </c>
      <c r="H229" s="8">
        <v>1</v>
      </c>
      <c r="I229" s="55" t="s">
        <v>16</v>
      </c>
      <c r="J229" s="20">
        <v>6</v>
      </c>
    </row>
    <row r="230" spans="1:10" x14ac:dyDescent="0.25">
      <c r="A230" s="2" t="s">
        <v>340</v>
      </c>
      <c r="B230" s="3" t="s">
        <v>10</v>
      </c>
      <c r="C230" s="3" t="s">
        <v>174</v>
      </c>
      <c r="D230" s="3" t="s">
        <v>185</v>
      </c>
      <c r="E230" s="3" t="s">
        <v>199</v>
      </c>
      <c r="F230" s="3" t="s">
        <v>200</v>
      </c>
      <c r="G230" s="3" t="s">
        <v>204</v>
      </c>
      <c r="H230" s="8">
        <v>2</v>
      </c>
      <c r="I230" s="55" t="s">
        <v>16</v>
      </c>
      <c r="J230" s="18">
        <v>2</v>
      </c>
    </row>
    <row r="231" spans="1:10" x14ac:dyDescent="0.25">
      <c r="A231" s="2" t="s">
        <v>202</v>
      </c>
      <c r="B231" s="3" t="s">
        <v>10</v>
      </c>
      <c r="C231" s="3" t="s">
        <v>174</v>
      </c>
      <c r="D231" s="3" t="s">
        <v>185</v>
      </c>
      <c r="E231" s="3" t="s">
        <v>199</v>
      </c>
      <c r="F231" s="3" t="s">
        <v>200</v>
      </c>
      <c r="G231" s="3" t="s">
        <v>205</v>
      </c>
      <c r="H231" s="8">
        <v>1</v>
      </c>
      <c r="I231" s="55" t="s">
        <v>16</v>
      </c>
      <c r="J231" s="20">
        <v>2</v>
      </c>
    </row>
    <row r="232" spans="1:10" x14ac:dyDescent="0.25">
      <c r="A232" s="3" t="s">
        <v>206</v>
      </c>
      <c r="B232" s="3" t="s">
        <v>15</v>
      </c>
      <c r="C232" s="3" t="s">
        <v>174</v>
      </c>
      <c r="D232" s="3" t="s">
        <v>185</v>
      </c>
      <c r="E232" s="3" t="s">
        <v>199</v>
      </c>
      <c r="F232" s="3" t="s">
        <v>200</v>
      </c>
      <c r="G232" s="3" t="s">
        <v>207</v>
      </c>
      <c r="H232" s="8">
        <v>1</v>
      </c>
      <c r="I232" s="55" t="s">
        <v>16</v>
      </c>
      <c r="J232" s="20">
        <v>1</v>
      </c>
    </row>
    <row r="233" spans="1:10" x14ac:dyDescent="0.25">
      <c r="A233" s="2" t="s">
        <v>208</v>
      </c>
      <c r="B233" s="3" t="s">
        <v>10</v>
      </c>
      <c r="C233" s="3" t="s">
        <v>174</v>
      </c>
      <c r="D233" s="3" t="s">
        <v>185</v>
      </c>
      <c r="E233" s="3" t="s">
        <v>199</v>
      </c>
      <c r="F233" s="3" t="s">
        <v>200</v>
      </c>
      <c r="G233" s="3" t="s">
        <v>207</v>
      </c>
      <c r="H233" s="8">
        <v>6</v>
      </c>
      <c r="I233" s="55" t="s">
        <v>16</v>
      </c>
      <c r="J233" s="20">
        <v>2</v>
      </c>
    </row>
    <row r="234" spans="1:10" x14ac:dyDescent="0.25">
      <c r="A234" s="2" t="s">
        <v>209</v>
      </c>
      <c r="B234" s="3" t="s">
        <v>15</v>
      </c>
      <c r="C234" s="3" t="s">
        <v>174</v>
      </c>
      <c r="D234" s="3" t="s">
        <v>185</v>
      </c>
      <c r="E234" s="3" t="s">
        <v>199</v>
      </c>
      <c r="F234" s="3" t="s">
        <v>200</v>
      </c>
      <c r="G234" s="3" t="s">
        <v>207</v>
      </c>
      <c r="H234" s="8">
        <v>1</v>
      </c>
      <c r="I234" s="55" t="s">
        <v>16</v>
      </c>
      <c r="J234" s="20">
        <v>2</v>
      </c>
    </row>
    <row r="235" spans="1:10" x14ac:dyDescent="0.25">
      <c r="A235" s="2" t="s">
        <v>210</v>
      </c>
      <c r="B235" s="3" t="s">
        <v>15</v>
      </c>
      <c r="C235" s="3" t="s">
        <v>174</v>
      </c>
      <c r="D235" s="3" t="s">
        <v>185</v>
      </c>
      <c r="E235" s="3" t="s">
        <v>199</v>
      </c>
      <c r="F235" s="3" t="s">
        <v>200</v>
      </c>
      <c r="G235" s="3" t="s">
        <v>207</v>
      </c>
      <c r="H235" s="8">
        <v>1</v>
      </c>
      <c r="I235" s="55" t="s">
        <v>16</v>
      </c>
      <c r="J235" s="20">
        <v>3</v>
      </c>
    </row>
    <row r="236" spans="1:10" x14ac:dyDescent="0.25">
      <c r="A236" s="2">
        <v>1107</v>
      </c>
      <c r="B236" s="3" t="s">
        <v>15</v>
      </c>
      <c r="C236" s="3" t="s">
        <v>174</v>
      </c>
      <c r="D236" s="3" t="s">
        <v>185</v>
      </c>
      <c r="E236" s="3" t="s">
        <v>199</v>
      </c>
      <c r="F236" s="3" t="s">
        <v>200</v>
      </c>
      <c r="G236" s="3" t="s">
        <v>207</v>
      </c>
      <c r="H236" s="8">
        <v>3</v>
      </c>
      <c r="I236" s="55" t="s">
        <v>16</v>
      </c>
      <c r="J236" s="20">
        <v>4</v>
      </c>
    </row>
    <row r="237" spans="1:10" x14ac:dyDescent="0.25">
      <c r="A237" s="3" t="s">
        <v>278</v>
      </c>
      <c r="B237" s="3" t="s">
        <v>10</v>
      </c>
      <c r="C237" s="3" t="s">
        <v>174</v>
      </c>
      <c r="D237" s="3" t="s">
        <v>185</v>
      </c>
      <c r="E237" s="3" t="s">
        <v>199</v>
      </c>
      <c r="F237" s="3" t="s">
        <v>200</v>
      </c>
      <c r="G237" s="3" t="s">
        <v>207</v>
      </c>
      <c r="H237" s="8">
        <v>1</v>
      </c>
      <c r="I237" s="55" t="s">
        <v>16</v>
      </c>
      <c r="J237" s="20">
        <v>2</v>
      </c>
    </row>
    <row r="238" spans="1:10" x14ac:dyDescent="0.25">
      <c r="A238" s="2">
        <v>1224</v>
      </c>
      <c r="B238" s="3" t="s">
        <v>10</v>
      </c>
      <c r="C238" s="3" t="s">
        <v>174</v>
      </c>
      <c r="D238" s="3" t="s">
        <v>185</v>
      </c>
      <c r="E238" s="3" t="s">
        <v>199</v>
      </c>
      <c r="F238" s="3" t="s">
        <v>200</v>
      </c>
      <c r="G238" s="3" t="s">
        <v>207</v>
      </c>
      <c r="H238" s="8">
        <v>1</v>
      </c>
      <c r="I238" s="55" t="s">
        <v>16</v>
      </c>
      <c r="J238" s="20">
        <v>5</v>
      </c>
    </row>
    <row r="239" spans="1:10" x14ac:dyDescent="0.25">
      <c r="A239" s="21">
        <v>1053</v>
      </c>
      <c r="B239" s="3" t="s">
        <v>15</v>
      </c>
      <c r="C239" s="3" t="s">
        <v>174</v>
      </c>
      <c r="D239" s="3" t="s">
        <v>185</v>
      </c>
      <c r="E239" s="3" t="s">
        <v>199</v>
      </c>
      <c r="F239" s="3" t="s">
        <v>200</v>
      </c>
      <c r="G239" s="3" t="s">
        <v>207</v>
      </c>
      <c r="H239" s="18">
        <v>1</v>
      </c>
      <c r="I239" s="55" t="s">
        <v>16</v>
      </c>
      <c r="J239" s="20">
        <v>4</v>
      </c>
    </row>
    <row r="240" spans="1:10" x14ac:dyDescent="0.25">
      <c r="A240" s="2" t="s">
        <v>279</v>
      </c>
      <c r="B240" s="3" t="s">
        <v>15</v>
      </c>
      <c r="C240" s="3" t="s">
        <v>174</v>
      </c>
      <c r="D240" s="3" t="s">
        <v>185</v>
      </c>
      <c r="E240" s="3" t="s">
        <v>199</v>
      </c>
      <c r="F240" s="3" t="s">
        <v>200</v>
      </c>
      <c r="G240" s="3" t="s">
        <v>207</v>
      </c>
      <c r="H240" s="8">
        <v>1</v>
      </c>
      <c r="I240" s="55" t="s">
        <v>16</v>
      </c>
      <c r="J240" s="20">
        <v>2</v>
      </c>
    </row>
    <row r="241" spans="1:10" x14ac:dyDescent="0.25">
      <c r="A241" s="2">
        <v>1470</v>
      </c>
      <c r="B241" s="3" t="s">
        <v>15</v>
      </c>
      <c r="C241" s="3" t="s">
        <v>174</v>
      </c>
      <c r="D241" s="3" t="s">
        <v>185</v>
      </c>
      <c r="E241" s="3" t="s">
        <v>199</v>
      </c>
      <c r="F241" s="3" t="s">
        <v>200</v>
      </c>
      <c r="G241" s="3" t="s">
        <v>207</v>
      </c>
      <c r="H241" s="8">
        <v>1</v>
      </c>
      <c r="I241" s="55" t="s">
        <v>16</v>
      </c>
      <c r="J241" s="20">
        <v>5</v>
      </c>
    </row>
    <row r="242" spans="1:10" x14ac:dyDescent="0.25">
      <c r="A242" s="2" t="s">
        <v>341</v>
      </c>
      <c r="B242" s="3" t="s">
        <v>10</v>
      </c>
      <c r="C242" s="3" t="s">
        <v>174</v>
      </c>
      <c r="D242" s="3" t="s">
        <v>185</v>
      </c>
      <c r="E242" s="3" t="s">
        <v>199</v>
      </c>
      <c r="F242" s="3" t="s">
        <v>200</v>
      </c>
      <c r="G242" s="3" t="s">
        <v>207</v>
      </c>
      <c r="H242" s="8">
        <v>3</v>
      </c>
      <c r="I242" s="3" t="s">
        <v>16</v>
      </c>
      <c r="J242" s="8">
        <v>1</v>
      </c>
    </row>
    <row r="243" spans="1:10" x14ac:dyDescent="0.25">
      <c r="A243" s="2" t="s">
        <v>342</v>
      </c>
      <c r="B243" s="3" t="s">
        <v>15</v>
      </c>
      <c r="C243" s="3" t="s">
        <v>174</v>
      </c>
      <c r="D243" s="3" t="s">
        <v>185</v>
      </c>
      <c r="E243" s="3" t="s">
        <v>199</v>
      </c>
      <c r="F243" s="3" t="s">
        <v>200</v>
      </c>
      <c r="G243" s="3" t="s">
        <v>207</v>
      </c>
      <c r="H243" s="8">
        <v>2</v>
      </c>
      <c r="I243" s="3" t="s">
        <v>16</v>
      </c>
      <c r="J243" s="8">
        <v>3</v>
      </c>
    </row>
    <row r="244" spans="1:10" x14ac:dyDescent="0.25">
      <c r="A244" s="2" t="s">
        <v>343</v>
      </c>
      <c r="B244" s="3" t="s">
        <v>15</v>
      </c>
      <c r="C244" s="3" t="s">
        <v>174</v>
      </c>
      <c r="D244" s="3" t="s">
        <v>185</v>
      </c>
      <c r="E244" s="3" t="s">
        <v>199</v>
      </c>
      <c r="F244" s="3" t="s">
        <v>200</v>
      </c>
      <c r="G244" s="3" t="s">
        <v>207</v>
      </c>
      <c r="H244" s="8">
        <v>7</v>
      </c>
      <c r="I244" s="3" t="s">
        <v>16</v>
      </c>
      <c r="J244" s="8">
        <v>3</v>
      </c>
    </row>
    <row r="245" spans="1:10" x14ac:dyDescent="0.25">
      <c r="A245" s="2" t="s">
        <v>340</v>
      </c>
      <c r="B245" s="3" t="s">
        <v>10</v>
      </c>
      <c r="C245" s="3" t="s">
        <v>174</v>
      </c>
      <c r="D245" s="3" t="s">
        <v>185</v>
      </c>
      <c r="E245" s="3" t="s">
        <v>199</v>
      </c>
      <c r="F245" s="3" t="s">
        <v>200</v>
      </c>
      <c r="G245" s="3" t="s">
        <v>207</v>
      </c>
      <c r="H245" s="8">
        <v>10</v>
      </c>
      <c r="I245" s="3" t="s">
        <v>16</v>
      </c>
      <c r="J245" s="8">
        <v>2</v>
      </c>
    </row>
    <row r="246" spans="1:10" x14ac:dyDescent="0.25">
      <c r="A246" s="2" t="s">
        <v>211</v>
      </c>
      <c r="B246" s="3" t="s">
        <v>10</v>
      </c>
      <c r="C246" s="3" t="s">
        <v>174</v>
      </c>
      <c r="D246" s="3" t="s">
        <v>185</v>
      </c>
      <c r="E246" s="3" t="s">
        <v>212</v>
      </c>
      <c r="F246" s="3" t="s">
        <v>213</v>
      </c>
      <c r="G246" s="3" t="s">
        <v>214</v>
      </c>
      <c r="H246" s="8">
        <v>17</v>
      </c>
      <c r="I246" s="55" t="s">
        <v>16</v>
      </c>
      <c r="J246" s="20">
        <v>2</v>
      </c>
    </row>
    <row r="247" spans="1:10" x14ac:dyDescent="0.25">
      <c r="A247" s="2" t="s">
        <v>215</v>
      </c>
      <c r="B247" s="3" t="s">
        <v>15</v>
      </c>
      <c r="C247" s="3" t="s">
        <v>174</v>
      </c>
      <c r="D247" s="3" t="s">
        <v>185</v>
      </c>
      <c r="E247" s="3" t="s">
        <v>212</v>
      </c>
      <c r="F247" s="3" t="s">
        <v>213</v>
      </c>
      <c r="G247" s="3" t="s">
        <v>214</v>
      </c>
      <c r="H247" s="8">
        <v>3</v>
      </c>
      <c r="I247" s="55" t="s">
        <v>16</v>
      </c>
      <c r="J247" s="20">
        <v>3</v>
      </c>
    </row>
    <row r="248" spans="1:10" x14ac:dyDescent="0.25">
      <c r="A248" s="2" t="s">
        <v>216</v>
      </c>
      <c r="B248" s="3" t="s">
        <v>10</v>
      </c>
      <c r="C248" s="3" t="s">
        <v>174</v>
      </c>
      <c r="D248" s="3" t="s">
        <v>185</v>
      </c>
      <c r="E248" s="3" t="s">
        <v>212</v>
      </c>
      <c r="F248" s="3" t="s">
        <v>213</v>
      </c>
      <c r="G248" s="3" t="s">
        <v>214</v>
      </c>
      <c r="H248" s="8">
        <v>1</v>
      </c>
      <c r="I248" s="55" t="s">
        <v>16</v>
      </c>
      <c r="J248" s="20">
        <v>4</v>
      </c>
    </row>
    <row r="249" spans="1:10" x14ac:dyDescent="0.25">
      <c r="A249" s="2">
        <v>1257</v>
      </c>
      <c r="B249" s="3" t="s">
        <v>10</v>
      </c>
      <c r="C249" s="3" t="s">
        <v>174</v>
      </c>
      <c r="D249" s="3" t="s">
        <v>185</v>
      </c>
      <c r="E249" s="3" t="s">
        <v>212</v>
      </c>
      <c r="F249" s="3" t="s">
        <v>213</v>
      </c>
      <c r="G249" s="3" t="s">
        <v>214</v>
      </c>
      <c r="H249" s="8">
        <v>1</v>
      </c>
      <c r="I249" s="55" t="s">
        <v>16</v>
      </c>
      <c r="J249" s="20">
        <v>5</v>
      </c>
    </row>
    <row r="250" spans="1:10" x14ac:dyDescent="0.25">
      <c r="A250" s="2">
        <v>1368</v>
      </c>
      <c r="B250" s="3" t="s">
        <v>15</v>
      </c>
      <c r="C250" s="3" t="s">
        <v>174</v>
      </c>
      <c r="D250" s="3" t="s">
        <v>185</v>
      </c>
      <c r="E250" s="3" t="s">
        <v>212</v>
      </c>
      <c r="F250" s="3" t="s">
        <v>213</v>
      </c>
      <c r="G250" s="3" t="s">
        <v>214</v>
      </c>
      <c r="H250" s="8">
        <v>2</v>
      </c>
      <c r="I250" s="55" t="s">
        <v>16</v>
      </c>
      <c r="J250" s="20">
        <v>5</v>
      </c>
    </row>
    <row r="251" spans="1:10" x14ac:dyDescent="0.25">
      <c r="A251" s="2">
        <v>1615</v>
      </c>
      <c r="B251" s="3" t="s">
        <v>10</v>
      </c>
      <c r="C251" s="3" t="s">
        <v>174</v>
      </c>
      <c r="D251" s="3" t="s">
        <v>185</v>
      </c>
      <c r="E251" s="3" t="s">
        <v>212</v>
      </c>
      <c r="F251" s="3" t="s">
        <v>213</v>
      </c>
      <c r="G251" s="3" t="s">
        <v>214</v>
      </c>
      <c r="H251" s="8">
        <v>2</v>
      </c>
      <c r="I251" s="55" t="s">
        <v>16</v>
      </c>
      <c r="J251" s="20">
        <v>6</v>
      </c>
    </row>
    <row r="252" spans="1:10" x14ac:dyDescent="0.25">
      <c r="A252" s="2" t="s">
        <v>280</v>
      </c>
      <c r="B252" s="3" t="s">
        <v>15</v>
      </c>
      <c r="C252" s="3" t="s">
        <v>174</v>
      </c>
      <c r="D252" s="3" t="s">
        <v>185</v>
      </c>
      <c r="E252" s="3" t="s">
        <v>212</v>
      </c>
      <c r="F252" s="3" t="s">
        <v>213</v>
      </c>
      <c r="G252" s="3" t="s">
        <v>214</v>
      </c>
      <c r="H252" s="8">
        <v>2</v>
      </c>
      <c r="I252" s="55" t="s">
        <v>16</v>
      </c>
      <c r="J252" s="20">
        <v>6</v>
      </c>
    </row>
    <row r="253" spans="1:10" x14ac:dyDescent="0.25">
      <c r="A253" s="2" t="s">
        <v>281</v>
      </c>
      <c r="B253" s="3" t="s">
        <v>10</v>
      </c>
      <c r="C253" s="3" t="s">
        <v>174</v>
      </c>
      <c r="D253" s="3" t="s">
        <v>185</v>
      </c>
      <c r="E253" s="3" t="s">
        <v>212</v>
      </c>
      <c r="F253" s="3" t="s">
        <v>213</v>
      </c>
      <c r="G253" s="3" t="s">
        <v>214</v>
      </c>
      <c r="H253" s="8">
        <v>1</v>
      </c>
      <c r="I253" s="55" t="s">
        <v>16</v>
      </c>
      <c r="J253" s="20">
        <v>5</v>
      </c>
    </row>
    <row r="254" spans="1:10" x14ac:dyDescent="0.25">
      <c r="A254" s="2" t="s">
        <v>217</v>
      </c>
      <c r="B254" s="3" t="s">
        <v>15</v>
      </c>
      <c r="C254" s="3" t="s">
        <v>174</v>
      </c>
      <c r="D254" s="3" t="s">
        <v>185</v>
      </c>
      <c r="E254" s="3" t="s">
        <v>212</v>
      </c>
      <c r="F254" s="3" t="s">
        <v>213</v>
      </c>
      <c r="G254" s="3" t="s">
        <v>214</v>
      </c>
      <c r="H254" s="8">
        <v>1</v>
      </c>
      <c r="I254" s="55" t="s">
        <v>16</v>
      </c>
      <c r="J254" s="20">
        <v>6</v>
      </c>
    </row>
    <row r="255" spans="1:10" x14ac:dyDescent="0.25">
      <c r="A255" s="2" t="s">
        <v>282</v>
      </c>
      <c r="B255" s="3" t="s">
        <v>15</v>
      </c>
      <c r="C255" s="3" t="s">
        <v>174</v>
      </c>
      <c r="D255" s="3" t="s">
        <v>185</v>
      </c>
      <c r="E255" s="3" t="s">
        <v>212</v>
      </c>
      <c r="F255" s="3" t="s">
        <v>213</v>
      </c>
      <c r="G255" s="3" t="s">
        <v>214</v>
      </c>
      <c r="H255" s="8">
        <v>1</v>
      </c>
      <c r="I255" s="55" t="s">
        <v>16</v>
      </c>
      <c r="J255" s="20">
        <v>2</v>
      </c>
    </row>
    <row r="256" spans="1:10" x14ac:dyDescent="0.25">
      <c r="A256" s="2">
        <v>1768</v>
      </c>
      <c r="B256" s="3" t="s">
        <v>15</v>
      </c>
      <c r="C256" s="3" t="s">
        <v>174</v>
      </c>
      <c r="D256" s="3" t="s">
        <v>185</v>
      </c>
      <c r="E256" s="3" t="s">
        <v>212</v>
      </c>
      <c r="F256" s="3" t="s">
        <v>213</v>
      </c>
      <c r="G256" s="3" t="s">
        <v>214</v>
      </c>
      <c r="H256" s="8">
        <v>1</v>
      </c>
      <c r="I256" s="55" t="s">
        <v>16</v>
      </c>
      <c r="J256" s="20">
        <v>6</v>
      </c>
    </row>
    <row r="257" spans="1:10" x14ac:dyDescent="0.25">
      <c r="A257" s="2" t="s">
        <v>307</v>
      </c>
      <c r="B257" s="3" t="s">
        <v>15</v>
      </c>
      <c r="C257" s="3" t="s">
        <v>174</v>
      </c>
      <c r="D257" s="3" t="s">
        <v>185</v>
      </c>
      <c r="E257" s="3" t="s">
        <v>212</v>
      </c>
      <c r="F257" s="3" t="s">
        <v>213</v>
      </c>
      <c r="G257" s="3" t="s">
        <v>214</v>
      </c>
      <c r="H257" s="8">
        <v>1</v>
      </c>
      <c r="I257" s="55" t="s">
        <v>16</v>
      </c>
      <c r="J257" s="20">
        <v>3</v>
      </c>
    </row>
    <row r="258" spans="1:10" x14ac:dyDescent="0.25">
      <c r="A258" s="2" t="s">
        <v>308</v>
      </c>
      <c r="B258" s="3" t="s">
        <v>15</v>
      </c>
      <c r="C258" s="3" t="s">
        <v>174</v>
      </c>
      <c r="D258" s="3" t="s">
        <v>185</v>
      </c>
      <c r="E258" s="3" t="s">
        <v>212</v>
      </c>
      <c r="F258" s="3" t="s">
        <v>213</v>
      </c>
      <c r="G258" s="3" t="s">
        <v>214</v>
      </c>
      <c r="H258" s="8">
        <v>1</v>
      </c>
      <c r="I258" s="55" t="s">
        <v>16</v>
      </c>
      <c r="J258" s="20">
        <v>4</v>
      </c>
    </row>
    <row r="259" spans="1:10" x14ac:dyDescent="0.25">
      <c r="A259" s="2">
        <v>1578</v>
      </c>
      <c r="B259" s="3" t="s">
        <v>10</v>
      </c>
      <c r="C259" s="3" t="s">
        <v>174</v>
      </c>
      <c r="D259" s="3" t="s">
        <v>185</v>
      </c>
      <c r="E259" s="3" t="s">
        <v>212</v>
      </c>
      <c r="F259" s="3" t="s">
        <v>213</v>
      </c>
      <c r="G259" s="3" t="s">
        <v>214</v>
      </c>
      <c r="H259" s="8">
        <v>1</v>
      </c>
      <c r="I259" s="55" t="s">
        <v>16</v>
      </c>
      <c r="J259" s="20">
        <v>6</v>
      </c>
    </row>
    <row r="260" spans="1:10" x14ac:dyDescent="0.25">
      <c r="A260" s="21" t="s">
        <v>283</v>
      </c>
      <c r="B260" s="3" t="s">
        <v>15</v>
      </c>
      <c r="C260" s="3" t="s">
        <v>174</v>
      </c>
      <c r="D260" s="3" t="s">
        <v>185</v>
      </c>
      <c r="E260" s="3" t="s">
        <v>212</v>
      </c>
      <c r="F260" s="3" t="s">
        <v>213</v>
      </c>
      <c r="G260" s="3" t="s">
        <v>214</v>
      </c>
      <c r="H260" s="8">
        <v>1</v>
      </c>
      <c r="I260" s="55" t="s">
        <v>16</v>
      </c>
      <c r="J260" s="20">
        <v>5</v>
      </c>
    </row>
    <row r="261" spans="1:10" x14ac:dyDescent="0.25">
      <c r="A261" s="2" t="s">
        <v>218</v>
      </c>
      <c r="B261" s="3" t="s">
        <v>10</v>
      </c>
      <c r="C261" s="3" t="s">
        <v>174</v>
      </c>
      <c r="D261" s="3" t="s">
        <v>185</v>
      </c>
      <c r="E261" s="3" t="s">
        <v>219</v>
      </c>
      <c r="F261" s="15" t="s">
        <v>220</v>
      </c>
      <c r="G261" s="12" t="s">
        <v>221</v>
      </c>
      <c r="H261" s="13">
        <v>1</v>
      </c>
      <c r="I261" s="55" t="s">
        <v>13</v>
      </c>
      <c r="J261" s="20">
        <v>4</v>
      </c>
    </row>
    <row r="262" spans="1:10" x14ac:dyDescent="0.25">
      <c r="A262" s="2">
        <v>1522</v>
      </c>
      <c r="B262" s="3" t="s">
        <v>10</v>
      </c>
      <c r="C262" s="3" t="s">
        <v>174</v>
      </c>
      <c r="D262" s="3" t="s">
        <v>185</v>
      </c>
      <c r="E262" s="3" t="s">
        <v>219</v>
      </c>
      <c r="F262" s="15" t="s">
        <v>220</v>
      </c>
      <c r="G262" s="12" t="s">
        <v>221</v>
      </c>
      <c r="H262" s="13">
        <v>1</v>
      </c>
      <c r="I262" s="55" t="s">
        <v>16</v>
      </c>
      <c r="J262" s="20">
        <v>6</v>
      </c>
    </row>
    <row r="263" spans="1:10" x14ac:dyDescent="0.25">
      <c r="A263" s="2" t="s">
        <v>222</v>
      </c>
      <c r="B263" s="3" t="s">
        <v>10</v>
      </c>
      <c r="C263" s="3" t="s">
        <v>174</v>
      </c>
      <c r="D263" s="3" t="s">
        <v>185</v>
      </c>
      <c r="E263" s="3" t="s">
        <v>219</v>
      </c>
      <c r="F263" s="15" t="s">
        <v>220</v>
      </c>
      <c r="G263" s="12" t="s">
        <v>221</v>
      </c>
      <c r="H263" s="13">
        <v>1</v>
      </c>
      <c r="I263" s="55" t="s">
        <v>16</v>
      </c>
      <c r="J263" s="20">
        <v>6</v>
      </c>
    </row>
    <row r="264" spans="1:10" x14ac:dyDescent="0.25">
      <c r="A264" s="2">
        <v>1236</v>
      </c>
      <c r="B264" s="3" t="s">
        <v>10</v>
      </c>
      <c r="C264" s="3" t="s">
        <v>174</v>
      </c>
      <c r="D264" s="3" t="s">
        <v>185</v>
      </c>
      <c r="E264" s="3" t="s">
        <v>219</v>
      </c>
      <c r="F264" s="15" t="s">
        <v>220</v>
      </c>
      <c r="G264" s="12" t="s">
        <v>221</v>
      </c>
      <c r="H264" s="8">
        <v>1</v>
      </c>
      <c r="I264" s="55" t="s">
        <v>16</v>
      </c>
      <c r="J264" s="20">
        <v>5</v>
      </c>
    </row>
    <row r="265" spans="1:10" x14ac:dyDescent="0.25">
      <c r="A265" s="2" t="s">
        <v>223</v>
      </c>
      <c r="B265" s="3" t="s">
        <v>15</v>
      </c>
      <c r="C265" s="3" t="s">
        <v>174</v>
      </c>
      <c r="D265" s="3" t="s">
        <v>185</v>
      </c>
      <c r="E265" s="3" t="s">
        <v>219</v>
      </c>
      <c r="F265" s="15" t="s">
        <v>220</v>
      </c>
      <c r="G265" s="3" t="s">
        <v>224</v>
      </c>
      <c r="H265" s="8">
        <v>1</v>
      </c>
      <c r="I265" s="55" t="s">
        <v>16</v>
      </c>
      <c r="J265" s="20">
        <v>5</v>
      </c>
    </row>
    <row r="266" spans="1:10" x14ac:dyDescent="0.25">
      <c r="A266" s="2">
        <v>1297</v>
      </c>
      <c r="B266" s="3" t="s">
        <v>10</v>
      </c>
      <c r="C266" s="3" t="s">
        <v>174</v>
      </c>
      <c r="D266" s="3" t="s">
        <v>185</v>
      </c>
      <c r="E266" s="3" t="s">
        <v>225</v>
      </c>
      <c r="F266" s="3" t="s">
        <v>226</v>
      </c>
      <c r="G266" s="3" t="s">
        <v>227</v>
      </c>
      <c r="H266" s="8">
        <v>1</v>
      </c>
      <c r="I266" s="55" t="s">
        <v>16</v>
      </c>
      <c r="J266" s="20">
        <v>5</v>
      </c>
    </row>
    <row r="267" spans="1:10" x14ac:dyDescent="0.25">
      <c r="A267" s="2" t="s">
        <v>228</v>
      </c>
      <c r="B267" s="3" t="s">
        <v>10</v>
      </c>
      <c r="C267" s="3" t="s">
        <v>174</v>
      </c>
      <c r="D267" s="3" t="s">
        <v>185</v>
      </c>
      <c r="E267" s="3" t="s">
        <v>225</v>
      </c>
      <c r="F267" s="3" t="s">
        <v>226</v>
      </c>
      <c r="G267" s="3" t="s">
        <v>229</v>
      </c>
      <c r="H267" s="8">
        <v>1</v>
      </c>
      <c r="I267" s="55" t="s">
        <v>16</v>
      </c>
      <c r="J267" s="20">
        <v>2</v>
      </c>
    </row>
    <row r="268" spans="1:10" x14ac:dyDescent="0.25">
      <c r="A268" s="2" t="s">
        <v>230</v>
      </c>
      <c r="B268" s="3" t="s">
        <v>10</v>
      </c>
      <c r="C268" s="3" t="s">
        <v>174</v>
      </c>
      <c r="D268" s="3" t="s">
        <v>185</v>
      </c>
      <c r="E268" s="3" t="s">
        <v>225</v>
      </c>
      <c r="F268" s="3" t="s">
        <v>226</v>
      </c>
      <c r="G268" s="3" t="s">
        <v>229</v>
      </c>
      <c r="H268" s="8">
        <v>1</v>
      </c>
      <c r="I268" s="55" t="s">
        <v>16</v>
      </c>
      <c r="J268" s="20">
        <v>2</v>
      </c>
    </row>
    <row r="269" spans="1:10" x14ac:dyDescent="0.25">
      <c r="A269" s="2" t="s">
        <v>231</v>
      </c>
      <c r="B269" s="3" t="s">
        <v>10</v>
      </c>
      <c r="C269" s="3" t="s">
        <v>174</v>
      </c>
      <c r="D269" s="3" t="s">
        <v>185</v>
      </c>
      <c r="E269" s="3" t="s">
        <v>225</v>
      </c>
      <c r="F269" s="3" t="s">
        <v>226</v>
      </c>
      <c r="G269" s="3" t="s">
        <v>229</v>
      </c>
      <c r="H269" s="8">
        <v>1</v>
      </c>
      <c r="I269" s="55" t="s">
        <v>16</v>
      </c>
      <c r="J269" s="20">
        <v>3</v>
      </c>
    </row>
    <row r="270" spans="1:10" x14ac:dyDescent="0.25">
      <c r="A270" s="2" t="s">
        <v>232</v>
      </c>
      <c r="B270" s="3" t="s">
        <v>15</v>
      </c>
      <c r="C270" s="3" t="s">
        <v>174</v>
      </c>
      <c r="D270" s="3" t="s">
        <v>185</v>
      </c>
      <c r="E270" s="3" t="s">
        <v>225</v>
      </c>
      <c r="F270" s="3" t="s">
        <v>226</v>
      </c>
      <c r="G270" s="3" t="s">
        <v>229</v>
      </c>
      <c r="H270" s="8">
        <v>1</v>
      </c>
      <c r="I270" s="55" t="s">
        <v>13</v>
      </c>
      <c r="J270" s="20">
        <v>3</v>
      </c>
    </row>
    <row r="271" spans="1:10" x14ac:dyDescent="0.25">
      <c r="A271" s="2" t="s">
        <v>284</v>
      </c>
      <c r="B271" s="3" t="s">
        <v>15</v>
      </c>
      <c r="C271" s="3" t="s">
        <v>174</v>
      </c>
      <c r="D271" s="3" t="s">
        <v>185</v>
      </c>
      <c r="E271" s="3" t="s">
        <v>225</v>
      </c>
      <c r="F271" s="3" t="s">
        <v>226</v>
      </c>
      <c r="G271" s="3" t="s">
        <v>229</v>
      </c>
      <c r="H271" s="8">
        <v>1</v>
      </c>
      <c r="I271" s="55" t="s">
        <v>16</v>
      </c>
      <c r="J271" s="20">
        <v>3</v>
      </c>
    </row>
    <row r="272" spans="1:10" x14ac:dyDescent="0.25">
      <c r="A272" s="2" t="s">
        <v>233</v>
      </c>
      <c r="B272" s="3" t="s">
        <v>15</v>
      </c>
      <c r="C272" s="3" t="s">
        <v>174</v>
      </c>
      <c r="D272" s="3" t="s">
        <v>185</v>
      </c>
      <c r="E272" s="3" t="s">
        <v>225</v>
      </c>
      <c r="F272" s="3" t="s">
        <v>226</v>
      </c>
      <c r="G272" s="3" t="s">
        <v>229</v>
      </c>
      <c r="H272" s="8">
        <v>7</v>
      </c>
      <c r="I272" s="55" t="s">
        <v>13</v>
      </c>
      <c r="J272" s="20">
        <v>4</v>
      </c>
    </row>
    <row r="273" spans="1:10" x14ac:dyDescent="0.25">
      <c r="A273" s="2" t="s">
        <v>234</v>
      </c>
      <c r="B273" s="3" t="s">
        <v>15</v>
      </c>
      <c r="C273" s="3" t="s">
        <v>174</v>
      </c>
      <c r="D273" s="3" t="s">
        <v>185</v>
      </c>
      <c r="E273" s="3" t="s">
        <v>225</v>
      </c>
      <c r="F273" s="3" t="s">
        <v>226</v>
      </c>
      <c r="G273" s="3" t="s">
        <v>229</v>
      </c>
      <c r="H273" s="8">
        <v>3</v>
      </c>
      <c r="I273" s="55" t="s">
        <v>16</v>
      </c>
      <c r="J273" s="20">
        <v>4</v>
      </c>
    </row>
    <row r="274" spans="1:10" x14ac:dyDescent="0.25">
      <c r="A274" s="2" t="s">
        <v>235</v>
      </c>
      <c r="B274" s="3" t="s">
        <v>15</v>
      </c>
      <c r="C274" s="3" t="s">
        <v>174</v>
      </c>
      <c r="D274" s="3" t="s">
        <v>185</v>
      </c>
      <c r="E274" s="3" t="s">
        <v>225</v>
      </c>
      <c r="F274" s="3" t="s">
        <v>226</v>
      </c>
      <c r="G274" s="3" t="s">
        <v>229</v>
      </c>
      <c r="H274" s="8">
        <v>3</v>
      </c>
      <c r="I274" s="55" t="s">
        <v>13</v>
      </c>
      <c r="J274" s="20">
        <v>4</v>
      </c>
    </row>
    <row r="275" spans="1:10" x14ac:dyDescent="0.25">
      <c r="A275" s="2" t="s">
        <v>236</v>
      </c>
      <c r="B275" s="3" t="s">
        <v>15</v>
      </c>
      <c r="C275" s="3" t="s">
        <v>174</v>
      </c>
      <c r="D275" s="3" t="s">
        <v>185</v>
      </c>
      <c r="E275" s="3" t="s">
        <v>225</v>
      </c>
      <c r="F275" s="3" t="s">
        <v>226</v>
      </c>
      <c r="G275" s="3" t="s">
        <v>229</v>
      </c>
      <c r="H275" s="8">
        <v>2</v>
      </c>
      <c r="I275" s="55" t="s">
        <v>13</v>
      </c>
      <c r="J275" s="20">
        <v>4</v>
      </c>
    </row>
    <row r="276" spans="1:10" x14ac:dyDescent="0.25">
      <c r="A276" s="2" t="s">
        <v>237</v>
      </c>
      <c r="B276" s="3" t="s">
        <v>10</v>
      </c>
      <c r="C276" s="3" t="s">
        <v>174</v>
      </c>
      <c r="D276" s="3" t="s">
        <v>185</v>
      </c>
      <c r="E276" s="3" t="s">
        <v>225</v>
      </c>
      <c r="F276" s="3" t="s">
        <v>226</v>
      </c>
      <c r="G276" s="3" t="s">
        <v>229</v>
      </c>
      <c r="H276" s="8">
        <v>3</v>
      </c>
      <c r="I276" s="55" t="s">
        <v>16</v>
      </c>
      <c r="J276" s="20">
        <v>5</v>
      </c>
    </row>
    <row r="277" spans="1:10" x14ac:dyDescent="0.25">
      <c r="A277" s="2" t="s">
        <v>285</v>
      </c>
      <c r="B277" s="3" t="s">
        <v>10</v>
      </c>
      <c r="C277" s="3" t="s">
        <v>174</v>
      </c>
      <c r="D277" s="3" t="s">
        <v>185</v>
      </c>
      <c r="E277" s="3" t="s">
        <v>225</v>
      </c>
      <c r="F277" s="3" t="s">
        <v>226</v>
      </c>
      <c r="G277" s="3" t="s">
        <v>229</v>
      </c>
      <c r="H277" s="8">
        <v>1</v>
      </c>
      <c r="I277" s="55" t="s">
        <v>16</v>
      </c>
      <c r="J277" s="20">
        <v>4</v>
      </c>
    </row>
    <row r="278" spans="1:10" x14ac:dyDescent="0.25">
      <c r="A278" s="2" t="s">
        <v>286</v>
      </c>
      <c r="B278" s="3" t="s">
        <v>10</v>
      </c>
      <c r="C278" s="3" t="s">
        <v>174</v>
      </c>
      <c r="D278" s="3" t="s">
        <v>185</v>
      </c>
      <c r="E278" s="3" t="s">
        <v>225</v>
      </c>
      <c r="F278" s="3" t="s">
        <v>226</v>
      </c>
      <c r="G278" s="3" t="s">
        <v>229</v>
      </c>
      <c r="H278" s="8">
        <v>1</v>
      </c>
      <c r="I278" s="55" t="s">
        <v>16</v>
      </c>
      <c r="J278" s="20">
        <v>4</v>
      </c>
    </row>
    <row r="279" spans="1:10" x14ac:dyDescent="0.25">
      <c r="A279" s="2" t="s">
        <v>309</v>
      </c>
      <c r="B279" s="3" t="s">
        <v>15</v>
      </c>
      <c r="C279" s="3" t="s">
        <v>174</v>
      </c>
      <c r="D279" s="3" t="s">
        <v>185</v>
      </c>
      <c r="E279" s="3" t="s">
        <v>225</v>
      </c>
      <c r="F279" s="3" t="s">
        <v>226</v>
      </c>
      <c r="G279" s="3" t="s">
        <v>229</v>
      </c>
      <c r="H279" s="8">
        <v>1</v>
      </c>
      <c r="I279" s="55" t="s">
        <v>16</v>
      </c>
      <c r="J279" s="20">
        <v>2</v>
      </c>
    </row>
    <row r="280" spans="1:10" x14ac:dyDescent="0.25">
      <c r="A280" s="2" t="s">
        <v>287</v>
      </c>
      <c r="B280" s="3" t="s">
        <v>10</v>
      </c>
      <c r="C280" s="3" t="s">
        <v>174</v>
      </c>
      <c r="D280" s="3" t="s">
        <v>185</v>
      </c>
      <c r="E280" s="3" t="s">
        <v>225</v>
      </c>
      <c r="F280" s="3" t="s">
        <v>226</v>
      </c>
      <c r="G280" s="3" t="s">
        <v>229</v>
      </c>
      <c r="H280" s="8">
        <v>1</v>
      </c>
      <c r="I280" s="55" t="s">
        <v>16</v>
      </c>
      <c r="J280" s="20">
        <v>1</v>
      </c>
    </row>
    <row r="281" spans="1:10" x14ac:dyDescent="0.25">
      <c r="A281" s="2" t="s">
        <v>238</v>
      </c>
      <c r="B281" s="3" t="s">
        <v>15</v>
      </c>
      <c r="C281" s="3" t="s">
        <v>174</v>
      </c>
      <c r="D281" s="3" t="s">
        <v>185</v>
      </c>
      <c r="E281" s="3" t="s">
        <v>239</v>
      </c>
      <c r="F281" s="3" t="s">
        <v>240</v>
      </c>
      <c r="G281" s="3" t="s">
        <v>241</v>
      </c>
      <c r="H281" s="8">
        <v>1</v>
      </c>
      <c r="I281" s="55" t="s">
        <v>13</v>
      </c>
      <c r="J281" s="20">
        <v>4</v>
      </c>
    </row>
    <row r="282" spans="1:10" x14ac:dyDescent="0.25">
      <c r="A282" s="2" t="s">
        <v>242</v>
      </c>
      <c r="B282" s="3" t="s">
        <v>15</v>
      </c>
      <c r="C282" s="3" t="s">
        <v>174</v>
      </c>
      <c r="D282" s="3" t="s">
        <v>185</v>
      </c>
      <c r="E282" s="3" t="s">
        <v>239</v>
      </c>
      <c r="F282" s="3" t="s">
        <v>240</v>
      </c>
      <c r="G282" s="3" t="s">
        <v>241</v>
      </c>
      <c r="H282" s="8">
        <v>1</v>
      </c>
      <c r="I282" s="55" t="s">
        <v>13</v>
      </c>
      <c r="J282" s="20">
        <v>5</v>
      </c>
    </row>
    <row r="283" spans="1:10" x14ac:dyDescent="0.25">
      <c r="A283" s="2" t="s">
        <v>243</v>
      </c>
      <c r="B283" s="3" t="s">
        <v>10</v>
      </c>
      <c r="C283" s="3" t="s">
        <v>174</v>
      </c>
      <c r="D283" s="3" t="s">
        <v>185</v>
      </c>
      <c r="E283" s="3" t="s">
        <v>239</v>
      </c>
      <c r="F283" s="3" t="s">
        <v>240</v>
      </c>
      <c r="G283" s="3" t="s">
        <v>241</v>
      </c>
      <c r="H283" s="8">
        <v>1</v>
      </c>
      <c r="I283" s="55" t="s">
        <v>13</v>
      </c>
      <c r="J283" s="20">
        <v>6</v>
      </c>
    </row>
    <row r="284" spans="1:10" x14ac:dyDescent="0.25">
      <c r="A284" s="2" t="s">
        <v>244</v>
      </c>
      <c r="B284" s="3" t="s">
        <v>10</v>
      </c>
      <c r="C284" s="3" t="s">
        <v>174</v>
      </c>
      <c r="D284" s="3" t="s">
        <v>185</v>
      </c>
      <c r="E284" s="3" t="s">
        <v>239</v>
      </c>
      <c r="F284" s="3" t="s">
        <v>240</v>
      </c>
      <c r="G284" s="3" t="s">
        <v>241</v>
      </c>
      <c r="H284" s="8">
        <v>1</v>
      </c>
      <c r="I284" s="55" t="s">
        <v>13</v>
      </c>
      <c r="J284" s="20">
        <v>6</v>
      </c>
    </row>
    <row r="285" spans="1:10" x14ac:dyDescent="0.25">
      <c r="A285" s="2" t="s">
        <v>288</v>
      </c>
      <c r="B285" s="3" t="s">
        <v>10</v>
      </c>
      <c r="C285" s="3" t="s">
        <v>174</v>
      </c>
      <c r="D285" s="3" t="s">
        <v>185</v>
      </c>
      <c r="E285" s="3" t="s">
        <v>239</v>
      </c>
      <c r="F285" s="3" t="s">
        <v>240</v>
      </c>
      <c r="G285" s="3" t="s">
        <v>241</v>
      </c>
      <c r="H285" s="8">
        <v>1</v>
      </c>
      <c r="I285" s="55" t="s">
        <v>16</v>
      </c>
      <c r="J285" s="20">
        <v>1</v>
      </c>
    </row>
    <row r="286" spans="1:10" x14ac:dyDescent="0.25">
      <c r="A286" s="2">
        <v>1522</v>
      </c>
      <c r="B286" s="3" t="s">
        <v>10</v>
      </c>
      <c r="C286" s="3" t="s">
        <v>174</v>
      </c>
      <c r="D286" s="3" t="s">
        <v>185</v>
      </c>
      <c r="E286" s="3" t="s">
        <v>239</v>
      </c>
      <c r="F286" s="3" t="s">
        <v>240</v>
      </c>
      <c r="G286" s="3" t="s">
        <v>241</v>
      </c>
      <c r="H286" s="13">
        <v>1</v>
      </c>
      <c r="I286" s="55" t="s">
        <v>16</v>
      </c>
      <c r="J286" s="20">
        <v>6</v>
      </c>
    </row>
    <row r="287" spans="1:10" x14ac:dyDescent="0.25">
      <c r="A287" s="2" t="s">
        <v>289</v>
      </c>
      <c r="B287" s="3" t="s">
        <v>10</v>
      </c>
      <c r="C287" s="3" t="s">
        <v>174</v>
      </c>
      <c r="D287" s="3" t="s">
        <v>185</v>
      </c>
      <c r="E287" s="3" t="s">
        <v>239</v>
      </c>
      <c r="F287" s="3" t="s">
        <v>240</v>
      </c>
      <c r="G287" s="3" t="s">
        <v>241</v>
      </c>
      <c r="H287" s="13">
        <v>1</v>
      </c>
      <c r="I287" s="55" t="s">
        <v>16</v>
      </c>
      <c r="J287" s="20">
        <v>5</v>
      </c>
    </row>
    <row r="288" spans="1:10" x14ac:dyDescent="0.25">
      <c r="A288" s="2" t="s">
        <v>290</v>
      </c>
      <c r="B288" s="3" t="s">
        <v>15</v>
      </c>
      <c r="C288" s="3" t="s">
        <v>174</v>
      </c>
      <c r="D288" s="3" t="s">
        <v>185</v>
      </c>
      <c r="E288" s="3" t="s">
        <v>239</v>
      </c>
      <c r="F288" s="3" t="s">
        <v>291</v>
      </c>
      <c r="G288" s="3" t="s">
        <v>292</v>
      </c>
      <c r="H288" s="8">
        <v>1</v>
      </c>
      <c r="I288" s="55" t="s">
        <v>13</v>
      </c>
      <c r="J288" s="20">
        <v>4</v>
      </c>
    </row>
    <row r="289" spans="1:10" x14ac:dyDescent="0.25">
      <c r="A289" s="2" t="s">
        <v>293</v>
      </c>
      <c r="B289" s="3" t="s">
        <v>15</v>
      </c>
      <c r="C289" s="3" t="s">
        <v>174</v>
      </c>
      <c r="D289" s="3" t="s">
        <v>185</v>
      </c>
      <c r="E289" s="3" t="s">
        <v>239</v>
      </c>
      <c r="F289" s="3"/>
      <c r="G289" s="3" t="s">
        <v>420</v>
      </c>
      <c r="H289" s="13">
        <v>1</v>
      </c>
      <c r="I289" s="55" t="s">
        <v>13</v>
      </c>
      <c r="J289" s="20">
        <v>6</v>
      </c>
    </row>
    <row r="290" spans="1:10" x14ac:dyDescent="0.25">
      <c r="A290" s="2" t="s">
        <v>294</v>
      </c>
      <c r="B290" s="3" t="s">
        <v>15</v>
      </c>
      <c r="C290" s="3" t="s">
        <v>174</v>
      </c>
      <c r="D290" s="3" t="s">
        <v>185</v>
      </c>
      <c r="E290" s="3" t="s">
        <v>239</v>
      </c>
      <c r="F290" s="3"/>
      <c r="G290" s="3" t="s">
        <v>420</v>
      </c>
      <c r="H290" s="13">
        <v>1</v>
      </c>
      <c r="I290" s="55" t="s">
        <v>13</v>
      </c>
      <c r="J290" s="20">
        <v>2</v>
      </c>
    </row>
    <row r="291" spans="1:10" x14ac:dyDescent="0.25">
      <c r="A291" s="2" t="s">
        <v>295</v>
      </c>
      <c r="B291" s="3" t="s">
        <v>15</v>
      </c>
      <c r="C291" s="3" t="s">
        <v>174</v>
      </c>
      <c r="D291" s="3" t="s">
        <v>185</v>
      </c>
      <c r="E291" s="3" t="s">
        <v>239</v>
      </c>
      <c r="F291" s="3"/>
      <c r="G291" s="3" t="s">
        <v>442</v>
      </c>
      <c r="H291" s="13">
        <v>1</v>
      </c>
      <c r="I291" s="55" t="s">
        <v>13</v>
      </c>
      <c r="J291" s="20">
        <v>4</v>
      </c>
    </row>
    <row r="292" spans="1:10" x14ac:dyDescent="0.25">
      <c r="A292" s="2" t="s">
        <v>296</v>
      </c>
      <c r="B292" s="3" t="s">
        <v>10</v>
      </c>
      <c r="C292" s="3" t="s">
        <v>174</v>
      </c>
      <c r="D292" s="3" t="s">
        <v>185</v>
      </c>
      <c r="E292" s="3" t="s">
        <v>239</v>
      </c>
      <c r="F292" s="3"/>
      <c r="G292" s="3" t="s">
        <v>443</v>
      </c>
      <c r="H292" s="13">
        <v>1</v>
      </c>
      <c r="I292" s="55" t="s">
        <v>13</v>
      </c>
      <c r="J292" s="20">
        <v>5</v>
      </c>
    </row>
    <row r="293" spans="1:10" x14ac:dyDescent="0.25">
      <c r="A293" s="2" t="s">
        <v>297</v>
      </c>
      <c r="B293" s="3" t="s">
        <v>15</v>
      </c>
      <c r="C293" s="3" t="s">
        <v>174</v>
      </c>
      <c r="D293" s="3" t="s">
        <v>185</v>
      </c>
      <c r="E293" s="3" t="s">
        <v>298</v>
      </c>
      <c r="F293" s="3" t="s">
        <v>299</v>
      </c>
      <c r="G293" s="3" t="s">
        <v>300</v>
      </c>
      <c r="H293" s="13">
        <v>1</v>
      </c>
      <c r="I293" s="55" t="s">
        <v>13</v>
      </c>
      <c r="J293" s="20">
        <v>4</v>
      </c>
    </row>
    <row r="294" spans="1:10" x14ac:dyDescent="0.25">
      <c r="A294" s="2" t="s">
        <v>245</v>
      </c>
      <c r="B294" s="3" t="s">
        <v>15</v>
      </c>
      <c r="C294" s="3" t="s">
        <v>174</v>
      </c>
      <c r="D294" s="3" t="s">
        <v>246</v>
      </c>
      <c r="E294" s="99" t="s">
        <v>421</v>
      </c>
      <c r="F294" s="16"/>
      <c r="G294" s="3" t="s">
        <v>444</v>
      </c>
      <c r="H294" s="17">
        <v>1</v>
      </c>
      <c r="I294" s="55" t="s">
        <v>13</v>
      </c>
      <c r="J294" s="20">
        <v>4</v>
      </c>
    </row>
    <row r="295" spans="1:10" x14ac:dyDescent="0.25">
      <c r="H295" s="19">
        <v>431</v>
      </c>
      <c r="J295" s="26"/>
    </row>
    <row r="296" spans="1:10" x14ac:dyDescent="0.25">
      <c r="J296" s="26"/>
    </row>
    <row r="297" spans="1:10" x14ac:dyDescent="0.25">
      <c r="J297" s="26"/>
    </row>
    <row r="298" spans="1:10" x14ac:dyDescent="0.25">
      <c r="J298" s="26"/>
    </row>
    <row r="299" spans="1:10" x14ac:dyDescent="0.25">
      <c r="J299" s="26"/>
    </row>
    <row r="300" spans="1:10" x14ac:dyDescent="0.25">
      <c r="J300" s="26"/>
    </row>
    <row r="301" spans="1:10" x14ac:dyDescent="0.25">
      <c r="J301" s="26"/>
    </row>
    <row r="302" spans="1:10" x14ac:dyDescent="0.25">
      <c r="J302" s="26"/>
    </row>
    <row r="303" spans="1:10" x14ac:dyDescent="0.25">
      <c r="J303" s="26"/>
    </row>
    <row r="304" spans="1:10" x14ac:dyDescent="0.25">
      <c r="J304" s="26"/>
    </row>
    <row r="305" spans="10:10" x14ac:dyDescent="0.25">
      <c r="J305" s="26"/>
    </row>
    <row r="306" spans="10:10" x14ac:dyDescent="0.25">
      <c r="J306" s="26"/>
    </row>
    <row r="307" spans="10:10" x14ac:dyDescent="0.25">
      <c r="J307" s="26"/>
    </row>
    <row r="308" spans="10:10" x14ac:dyDescent="0.25">
      <c r="J308" s="26"/>
    </row>
    <row r="309" spans="10:10" x14ac:dyDescent="0.25">
      <c r="J309" s="26"/>
    </row>
    <row r="310" spans="10:10" x14ac:dyDescent="0.25">
      <c r="J310" s="26"/>
    </row>
    <row r="311" spans="10:10" x14ac:dyDescent="0.25">
      <c r="J311" s="26"/>
    </row>
    <row r="312" spans="10:10" x14ac:dyDescent="0.25">
      <c r="J312" s="26"/>
    </row>
    <row r="313" spans="10:10" x14ac:dyDescent="0.25">
      <c r="J313" s="26"/>
    </row>
    <row r="314" spans="10:10" x14ac:dyDescent="0.25">
      <c r="J314" s="26"/>
    </row>
    <row r="315" spans="10:10" x14ac:dyDescent="0.25">
      <c r="J315" s="26"/>
    </row>
    <row r="316" spans="10:10" x14ac:dyDescent="0.25">
      <c r="J316" s="26"/>
    </row>
    <row r="317" spans="10:10" x14ac:dyDescent="0.25">
      <c r="J317" s="26"/>
    </row>
    <row r="318" spans="10:10" x14ac:dyDescent="0.25">
      <c r="J318" s="26"/>
    </row>
    <row r="319" spans="10:10" x14ac:dyDescent="0.25">
      <c r="J319" s="26"/>
    </row>
    <row r="320" spans="10:10" x14ac:dyDescent="0.25">
      <c r="J320" s="63"/>
    </row>
  </sheetData>
  <sortState xmlns:xlrd2="http://schemas.microsoft.com/office/spreadsheetml/2017/richdata2" ref="A316:J392">
    <sortCondition ref="J316:J392"/>
    <sortCondition ref="B316:B39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1"/>
  <sheetViews>
    <sheetView zoomScale="70" zoomScaleNormal="70" workbookViewId="0">
      <selection activeCell="C19" sqref="C19"/>
    </sheetView>
  </sheetViews>
  <sheetFormatPr baseColWidth="10" defaultColWidth="10.85546875" defaultRowHeight="15" x14ac:dyDescent="0.25"/>
  <cols>
    <col min="1" max="1" width="15.85546875" customWidth="1"/>
    <col min="2" max="2" width="20.85546875" customWidth="1"/>
    <col min="3" max="4" width="21.140625" customWidth="1"/>
    <col min="5" max="5" width="10.140625" customWidth="1"/>
    <col min="6" max="6" width="10.28515625" customWidth="1"/>
    <col min="7" max="7" width="15.140625" customWidth="1"/>
    <col min="8" max="8" width="17.42578125" customWidth="1"/>
    <col min="9" max="9" width="20.140625" bestFit="1" customWidth="1"/>
    <col min="10" max="10" width="18.85546875" customWidth="1"/>
    <col min="11" max="12" width="10.28515625" customWidth="1"/>
    <col min="13" max="13" width="15.5703125" customWidth="1"/>
    <col min="14" max="14" width="22.85546875" customWidth="1"/>
    <col min="15" max="15" width="22.7109375" customWidth="1"/>
    <col min="16" max="16" width="18.140625" customWidth="1"/>
    <col min="17" max="18" width="10.28515625" customWidth="1"/>
    <col min="19" max="19" width="15.85546875" customWidth="1"/>
    <col min="20" max="20" width="17.140625" customWidth="1"/>
    <col min="21" max="21" width="20.28515625" customWidth="1"/>
    <col min="22" max="22" width="19.28515625" customWidth="1"/>
    <col min="23" max="23" width="10.28515625" customWidth="1"/>
    <col min="25" max="31" width="11.42578125" customWidth="1"/>
  </cols>
  <sheetData>
    <row r="1" spans="1:23" x14ac:dyDescent="0.25">
      <c r="A1" t="s">
        <v>316</v>
      </c>
      <c r="G1" t="s">
        <v>317</v>
      </c>
      <c r="M1" t="s">
        <v>318</v>
      </c>
      <c r="S1" t="s">
        <v>319</v>
      </c>
    </row>
    <row r="2" spans="1:23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24"/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24"/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S2" s="1" t="s">
        <v>3</v>
      </c>
      <c r="T2" s="1" t="s">
        <v>4</v>
      </c>
      <c r="U2" s="1" t="s">
        <v>5</v>
      </c>
      <c r="V2" s="1" t="s">
        <v>6</v>
      </c>
      <c r="W2" s="1" t="s">
        <v>7</v>
      </c>
    </row>
    <row r="3" spans="1:23" x14ac:dyDescent="0.25">
      <c r="A3" s="9" t="s">
        <v>332</v>
      </c>
      <c r="B3" s="3"/>
      <c r="C3" s="4"/>
      <c r="D3" s="4"/>
      <c r="E3" s="5">
        <v>1</v>
      </c>
      <c r="F3" s="23"/>
      <c r="G3" s="9" t="s">
        <v>332</v>
      </c>
      <c r="H3" s="3"/>
      <c r="I3" s="4"/>
      <c r="J3" s="4"/>
      <c r="K3" s="5">
        <v>1</v>
      </c>
      <c r="L3" s="23"/>
      <c r="M3" s="9" t="s">
        <v>332</v>
      </c>
      <c r="N3" s="3"/>
      <c r="O3" s="4"/>
      <c r="P3" s="4"/>
      <c r="Q3" s="5">
        <v>1</v>
      </c>
      <c r="S3" s="9" t="s">
        <v>332</v>
      </c>
      <c r="T3" s="3"/>
      <c r="U3" s="4"/>
      <c r="V3" s="4"/>
      <c r="W3" s="5">
        <v>1</v>
      </c>
    </row>
    <row r="4" spans="1:23" x14ac:dyDescent="0.25">
      <c r="A4" s="3" t="s">
        <v>175</v>
      </c>
      <c r="B4" s="3" t="s">
        <v>176</v>
      </c>
      <c r="C4" s="3" t="s">
        <v>177</v>
      </c>
      <c r="D4" s="3" t="s">
        <v>178</v>
      </c>
      <c r="E4" s="8">
        <v>2</v>
      </c>
      <c r="F4" s="23"/>
      <c r="G4" s="3" t="s">
        <v>175</v>
      </c>
      <c r="H4" s="3" t="s">
        <v>176</v>
      </c>
      <c r="I4" s="3" t="s">
        <v>177</v>
      </c>
      <c r="J4" s="3" t="s">
        <v>178</v>
      </c>
      <c r="K4" s="8">
        <v>3</v>
      </c>
      <c r="L4" s="23"/>
      <c r="M4" s="3" t="s">
        <v>175</v>
      </c>
      <c r="N4" s="3" t="s">
        <v>176</v>
      </c>
      <c r="O4" s="3" t="s">
        <v>177</v>
      </c>
      <c r="P4" s="3" t="s">
        <v>178</v>
      </c>
      <c r="Q4" s="8">
        <v>1</v>
      </c>
      <c r="S4" s="9" t="s">
        <v>332</v>
      </c>
      <c r="T4" s="3"/>
      <c r="U4" s="4"/>
      <c r="V4" s="4"/>
      <c r="W4" s="5">
        <v>1</v>
      </c>
    </row>
    <row r="5" spans="1:23" x14ac:dyDescent="0.25">
      <c r="A5" s="3" t="s">
        <v>185</v>
      </c>
      <c r="B5" s="3" t="s">
        <v>190</v>
      </c>
      <c r="C5" s="3" t="s">
        <v>197</v>
      </c>
      <c r="D5" s="3" t="s">
        <v>192</v>
      </c>
      <c r="E5" s="8">
        <v>1</v>
      </c>
      <c r="F5" s="23"/>
      <c r="G5" s="3" t="s">
        <v>175</v>
      </c>
      <c r="H5" s="3" t="s">
        <v>176</v>
      </c>
      <c r="I5" s="3" t="s">
        <v>177</v>
      </c>
      <c r="J5" s="3" t="s">
        <v>178</v>
      </c>
      <c r="K5" s="8">
        <v>1</v>
      </c>
      <c r="L5" s="23"/>
      <c r="M5" s="3" t="s">
        <v>185</v>
      </c>
      <c r="N5" s="3" t="s">
        <v>190</v>
      </c>
      <c r="O5" s="3" t="s">
        <v>191</v>
      </c>
      <c r="P5" s="3" t="s">
        <v>192</v>
      </c>
      <c r="Q5" s="8">
        <v>1</v>
      </c>
      <c r="S5" s="3" t="s">
        <v>175</v>
      </c>
      <c r="T5" s="3" t="s">
        <v>176</v>
      </c>
      <c r="U5" s="3" t="s">
        <v>177</v>
      </c>
      <c r="V5" s="3" t="s">
        <v>178</v>
      </c>
      <c r="W5" s="8">
        <v>1</v>
      </c>
    </row>
    <row r="6" spans="1:23" x14ac:dyDescent="0.25">
      <c r="A6" s="3" t="s">
        <v>185</v>
      </c>
      <c r="B6" s="3" t="s">
        <v>225</v>
      </c>
      <c r="C6" s="3" t="s">
        <v>226</v>
      </c>
      <c r="D6" s="3" t="s">
        <v>229</v>
      </c>
      <c r="E6" s="8">
        <v>1</v>
      </c>
      <c r="F6" s="23"/>
      <c r="G6" s="3" t="s">
        <v>175</v>
      </c>
      <c r="H6" s="3" t="s">
        <v>176</v>
      </c>
      <c r="I6" s="3" t="s">
        <v>177</v>
      </c>
      <c r="J6" s="3" t="s">
        <v>178</v>
      </c>
      <c r="K6" s="8">
        <v>3</v>
      </c>
      <c r="L6" s="23"/>
      <c r="M6" s="3" t="s">
        <v>185</v>
      </c>
      <c r="N6" s="3" t="s">
        <v>190</v>
      </c>
      <c r="O6" s="3" t="s">
        <v>191</v>
      </c>
      <c r="P6" s="3" t="s">
        <v>192</v>
      </c>
      <c r="Q6" s="8">
        <v>1</v>
      </c>
      <c r="S6" s="3" t="s">
        <v>185</v>
      </c>
      <c r="T6" s="3" t="s">
        <v>190</v>
      </c>
      <c r="U6" s="3" t="s">
        <v>191</v>
      </c>
      <c r="V6" s="3" t="s">
        <v>192</v>
      </c>
      <c r="W6" s="8">
        <v>1</v>
      </c>
    </row>
    <row r="7" spans="1:23" x14ac:dyDescent="0.25">
      <c r="A7" s="3" t="s">
        <v>185</v>
      </c>
      <c r="B7" s="3" t="s">
        <v>225</v>
      </c>
      <c r="C7" s="3" t="s">
        <v>226</v>
      </c>
      <c r="D7" s="3" t="s">
        <v>229</v>
      </c>
      <c r="E7" s="8">
        <v>7</v>
      </c>
      <c r="F7" s="23"/>
      <c r="G7" s="3" t="s">
        <v>175</v>
      </c>
      <c r="H7" s="3" t="s">
        <v>176</v>
      </c>
      <c r="I7" s="3" t="s">
        <v>177</v>
      </c>
      <c r="J7" s="3" t="s">
        <v>178</v>
      </c>
      <c r="K7" s="8">
        <v>1</v>
      </c>
      <c r="L7" s="23"/>
      <c r="M7" s="3" t="s">
        <v>185</v>
      </c>
      <c r="N7" s="3" t="s">
        <v>190</v>
      </c>
      <c r="O7" s="3" t="s">
        <v>191</v>
      </c>
      <c r="P7" s="3" t="s">
        <v>192</v>
      </c>
      <c r="Q7" s="8">
        <v>1</v>
      </c>
      <c r="S7" s="3" t="s">
        <v>185</v>
      </c>
      <c r="T7" s="3" t="s">
        <v>225</v>
      </c>
      <c r="U7" s="3" t="s">
        <v>226</v>
      </c>
      <c r="V7" s="3" t="s">
        <v>227</v>
      </c>
      <c r="W7" s="8">
        <v>1</v>
      </c>
    </row>
    <row r="8" spans="1:23" x14ac:dyDescent="0.25">
      <c r="A8" s="3" t="s">
        <v>185</v>
      </c>
      <c r="B8" s="3" t="s">
        <v>225</v>
      </c>
      <c r="C8" s="3" t="s">
        <v>226</v>
      </c>
      <c r="D8" s="3" t="s">
        <v>229</v>
      </c>
      <c r="E8" s="8">
        <v>3</v>
      </c>
      <c r="F8" s="23"/>
      <c r="G8" s="3" t="s">
        <v>175</v>
      </c>
      <c r="H8" s="3" t="s">
        <v>176</v>
      </c>
      <c r="I8" s="3" t="s">
        <v>177</v>
      </c>
      <c r="J8" s="3" t="s">
        <v>178</v>
      </c>
      <c r="K8" s="8">
        <v>1</v>
      </c>
      <c r="L8" s="23"/>
      <c r="M8" s="3" t="s">
        <v>185</v>
      </c>
      <c r="N8" s="3" t="s">
        <v>190</v>
      </c>
      <c r="O8" s="3" t="s">
        <v>191</v>
      </c>
      <c r="P8" s="3" t="s">
        <v>192</v>
      </c>
      <c r="Q8" s="8">
        <v>1</v>
      </c>
      <c r="S8" s="3" t="s">
        <v>185</v>
      </c>
      <c r="T8" s="3" t="s">
        <v>225</v>
      </c>
      <c r="U8" s="3" t="s">
        <v>226</v>
      </c>
      <c r="V8" s="3" t="s">
        <v>229</v>
      </c>
      <c r="W8" s="8">
        <v>1</v>
      </c>
    </row>
    <row r="9" spans="1:23" x14ac:dyDescent="0.25">
      <c r="A9" s="3" t="s">
        <v>185</v>
      </c>
      <c r="B9" s="3" t="s">
        <v>225</v>
      </c>
      <c r="C9" s="3" t="s">
        <v>226</v>
      </c>
      <c r="D9" s="3" t="s">
        <v>229</v>
      </c>
      <c r="E9" s="8">
        <v>2</v>
      </c>
      <c r="F9" s="23"/>
      <c r="G9" s="3" t="s">
        <v>185</v>
      </c>
      <c r="H9" s="3" t="s">
        <v>190</v>
      </c>
      <c r="I9" s="3" t="s">
        <v>191</v>
      </c>
      <c r="J9" s="3" t="s">
        <v>192</v>
      </c>
      <c r="K9" s="8">
        <v>1</v>
      </c>
      <c r="L9" s="23"/>
      <c r="M9" s="3" t="s">
        <v>185</v>
      </c>
      <c r="N9" s="3" t="s">
        <v>219</v>
      </c>
      <c r="O9" s="128" t="s">
        <v>220</v>
      </c>
      <c r="P9" s="129" t="s">
        <v>221</v>
      </c>
      <c r="Q9" s="5">
        <v>1</v>
      </c>
      <c r="S9" s="3" t="s">
        <v>185</v>
      </c>
      <c r="T9" s="3" t="s">
        <v>225</v>
      </c>
      <c r="U9" s="3" t="s">
        <v>226</v>
      </c>
      <c r="V9" s="3" t="s">
        <v>229</v>
      </c>
      <c r="W9" s="8">
        <v>1</v>
      </c>
    </row>
    <row r="10" spans="1:23" x14ac:dyDescent="0.25">
      <c r="A10" s="3" t="s">
        <v>185</v>
      </c>
      <c r="B10" s="3" t="s">
        <v>239</v>
      </c>
      <c r="C10" s="3" t="s">
        <v>240</v>
      </c>
      <c r="D10" s="3" t="s">
        <v>241</v>
      </c>
      <c r="E10" s="8">
        <v>1</v>
      </c>
      <c r="F10" s="23"/>
      <c r="G10" s="3" t="s">
        <v>185</v>
      </c>
      <c r="H10" s="3" t="s">
        <v>190</v>
      </c>
      <c r="I10" s="3" t="s">
        <v>191</v>
      </c>
      <c r="J10" s="3" t="s">
        <v>192</v>
      </c>
      <c r="K10" s="8">
        <v>1</v>
      </c>
      <c r="L10" s="23"/>
      <c r="M10" s="3" t="s">
        <v>185</v>
      </c>
      <c r="N10" s="3" t="s">
        <v>239</v>
      </c>
      <c r="O10" s="3" t="s">
        <v>240</v>
      </c>
      <c r="P10" s="3" t="s">
        <v>241</v>
      </c>
      <c r="Q10" s="8">
        <v>1</v>
      </c>
      <c r="S10" s="3" t="s">
        <v>185</v>
      </c>
      <c r="T10" s="3" t="s">
        <v>225</v>
      </c>
      <c r="U10" s="3" t="s">
        <v>226</v>
      </c>
      <c r="V10" s="3" t="s">
        <v>229</v>
      </c>
      <c r="W10" s="8">
        <v>1</v>
      </c>
    </row>
    <row r="11" spans="1:23" x14ac:dyDescent="0.25">
      <c r="A11" s="3" t="s">
        <v>185</v>
      </c>
      <c r="B11" s="3" t="s">
        <v>239</v>
      </c>
      <c r="C11" s="3" t="s">
        <v>240</v>
      </c>
      <c r="D11" s="3" t="s">
        <v>241</v>
      </c>
      <c r="E11" s="8">
        <v>1</v>
      </c>
      <c r="F11" s="23"/>
      <c r="G11" s="3" t="s">
        <v>185</v>
      </c>
      <c r="H11" s="3" t="s">
        <v>190</v>
      </c>
      <c r="I11" s="3" t="s">
        <v>191</v>
      </c>
      <c r="J11" s="3" t="s">
        <v>192</v>
      </c>
      <c r="K11" s="8">
        <v>3</v>
      </c>
      <c r="L11" s="23"/>
      <c r="M11" s="3" t="s">
        <v>185</v>
      </c>
      <c r="N11" s="3" t="s">
        <v>239</v>
      </c>
      <c r="O11" s="3" t="s">
        <v>240</v>
      </c>
      <c r="P11" s="3" t="s">
        <v>241</v>
      </c>
      <c r="Q11" s="8">
        <v>1</v>
      </c>
      <c r="S11" s="3" t="s">
        <v>185</v>
      </c>
      <c r="T11" s="3" t="s">
        <v>225</v>
      </c>
      <c r="U11" s="3" t="s">
        <v>226</v>
      </c>
      <c r="V11" s="3" t="s">
        <v>229</v>
      </c>
      <c r="W11" s="8">
        <v>3</v>
      </c>
    </row>
    <row r="12" spans="1:23" x14ac:dyDescent="0.25">
      <c r="A12" s="3" t="s">
        <v>185</v>
      </c>
      <c r="B12" s="3" t="s">
        <v>239</v>
      </c>
      <c r="C12" s="3" t="s">
        <v>291</v>
      </c>
      <c r="D12" s="3" t="s">
        <v>292</v>
      </c>
      <c r="E12" s="8">
        <v>1</v>
      </c>
      <c r="F12" s="23"/>
      <c r="G12" s="3" t="s">
        <v>185</v>
      </c>
      <c r="H12" s="3" t="s">
        <v>190</v>
      </c>
      <c r="I12" s="3" t="s">
        <v>191</v>
      </c>
      <c r="J12" s="3" t="s">
        <v>192</v>
      </c>
      <c r="K12" s="8">
        <v>1</v>
      </c>
      <c r="L12" s="23"/>
      <c r="M12" s="3" t="s">
        <v>185</v>
      </c>
      <c r="N12" s="3" t="s">
        <v>239</v>
      </c>
      <c r="O12" s="3"/>
      <c r="P12" s="129"/>
      <c r="Q12" s="5">
        <v>1</v>
      </c>
      <c r="S12" s="3" t="s">
        <v>185</v>
      </c>
      <c r="T12" s="3" t="s">
        <v>225</v>
      </c>
      <c r="U12" s="3" t="s">
        <v>226</v>
      </c>
      <c r="V12" s="3" t="s">
        <v>229</v>
      </c>
      <c r="W12" s="8">
        <v>1</v>
      </c>
    </row>
    <row r="13" spans="1:23" x14ac:dyDescent="0.25">
      <c r="A13" s="3" t="s">
        <v>185</v>
      </c>
      <c r="B13" s="3" t="s">
        <v>239</v>
      </c>
      <c r="C13" s="3"/>
      <c r="D13" s="129"/>
      <c r="E13" s="5">
        <v>1</v>
      </c>
      <c r="F13" s="23"/>
      <c r="G13" s="3" t="s">
        <v>185</v>
      </c>
      <c r="H13" s="3" t="s">
        <v>225</v>
      </c>
      <c r="I13" s="3" t="s">
        <v>226</v>
      </c>
      <c r="J13" s="3" t="s">
        <v>229</v>
      </c>
      <c r="K13" s="8">
        <v>1</v>
      </c>
      <c r="L13" s="23"/>
      <c r="M13" s="3" t="s">
        <v>18</v>
      </c>
      <c r="N13" s="3" t="s">
        <v>23</v>
      </c>
      <c r="O13" s="2" t="s">
        <v>24</v>
      </c>
      <c r="P13" s="3"/>
      <c r="Q13" s="8">
        <v>1</v>
      </c>
      <c r="S13" s="3" t="s">
        <v>185</v>
      </c>
      <c r="T13" s="3" t="s">
        <v>225</v>
      </c>
      <c r="U13" s="3" t="s">
        <v>226</v>
      </c>
      <c r="V13" s="3" t="s">
        <v>229</v>
      </c>
      <c r="W13" s="8">
        <v>1</v>
      </c>
    </row>
    <row r="14" spans="1:23" x14ac:dyDescent="0.25">
      <c r="A14" s="3" t="s">
        <v>185</v>
      </c>
      <c r="B14" s="3" t="s">
        <v>239</v>
      </c>
      <c r="C14" s="3"/>
      <c r="D14" s="129"/>
      <c r="E14" s="5">
        <v>1</v>
      </c>
      <c r="F14" s="23"/>
      <c r="G14" s="3" t="s">
        <v>185</v>
      </c>
      <c r="H14" s="3" t="s">
        <v>225</v>
      </c>
      <c r="I14" s="3" t="s">
        <v>226</v>
      </c>
      <c r="J14" s="3" t="s">
        <v>229</v>
      </c>
      <c r="K14" s="8">
        <v>3</v>
      </c>
      <c r="L14" s="23"/>
      <c r="M14" s="3" t="s">
        <v>18</v>
      </c>
      <c r="N14" s="3" t="s">
        <v>23</v>
      </c>
      <c r="O14" s="2" t="s">
        <v>24</v>
      </c>
      <c r="P14" s="3"/>
      <c r="Q14" s="8">
        <v>2</v>
      </c>
      <c r="S14" s="3" t="s">
        <v>185</v>
      </c>
      <c r="T14" s="3" t="s">
        <v>225</v>
      </c>
      <c r="U14" s="3" t="s">
        <v>226</v>
      </c>
      <c r="V14" s="3" t="s">
        <v>229</v>
      </c>
      <c r="W14" s="8">
        <v>1</v>
      </c>
    </row>
    <row r="15" spans="1:23" x14ac:dyDescent="0.25">
      <c r="A15" s="3" t="s">
        <v>185</v>
      </c>
      <c r="B15" s="3" t="s">
        <v>239</v>
      </c>
      <c r="C15" s="3"/>
      <c r="D15" s="129"/>
      <c r="E15" s="5">
        <v>1</v>
      </c>
      <c r="F15" s="23"/>
      <c r="G15" s="3" t="s">
        <v>185</v>
      </c>
      <c r="H15" s="3" t="s">
        <v>225</v>
      </c>
      <c r="I15" s="3" t="s">
        <v>226</v>
      </c>
      <c r="J15" s="3" t="s">
        <v>229</v>
      </c>
      <c r="K15" s="8">
        <v>1</v>
      </c>
      <c r="L15" s="23"/>
      <c r="M15" s="3" t="s">
        <v>18</v>
      </c>
      <c r="N15" s="2" t="s">
        <v>44</v>
      </c>
      <c r="O15" s="2"/>
      <c r="P15" s="3"/>
      <c r="Q15" s="8">
        <v>1</v>
      </c>
      <c r="S15" s="3" t="s">
        <v>185</v>
      </c>
      <c r="T15" s="3" t="s">
        <v>186</v>
      </c>
      <c r="U15" s="3" t="s">
        <v>187</v>
      </c>
      <c r="V15" s="3" t="s">
        <v>188</v>
      </c>
      <c r="W15" s="8">
        <v>2</v>
      </c>
    </row>
    <row r="16" spans="1:23" x14ac:dyDescent="0.25">
      <c r="A16" s="3" t="s">
        <v>185</v>
      </c>
      <c r="B16" s="3" t="s">
        <v>298</v>
      </c>
      <c r="C16" s="3" t="s">
        <v>299</v>
      </c>
      <c r="D16" s="3" t="s">
        <v>300</v>
      </c>
      <c r="E16" s="5">
        <v>1</v>
      </c>
      <c r="F16" s="23"/>
      <c r="G16" s="3" t="s">
        <v>185</v>
      </c>
      <c r="H16" s="3" t="s">
        <v>199</v>
      </c>
      <c r="I16" s="3" t="s">
        <v>200</v>
      </c>
      <c r="J16" s="3" t="s">
        <v>201</v>
      </c>
      <c r="K16" s="8">
        <v>5</v>
      </c>
      <c r="L16" s="23"/>
      <c r="M16" s="3" t="s">
        <v>18</v>
      </c>
      <c r="N16" s="3" t="s">
        <v>55</v>
      </c>
      <c r="O16" s="3" t="s">
        <v>56</v>
      </c>
      <c r="P16" s="3" t="s">
        <v>57</v>
      </c>
      <c r="Q16" s="8">
        <v>1</v>
      </c>
      <c r="S16" s="3" t="s">
        <v>185</v>
      </c>
      <c r="T16" s="3" t="s">
        <v>199</v>
      </c>
      <c r="U16" s="3" t="s">
        <v>200</v>
      </c>
      <c r="V16" s="3" t="s">
        <v>201</v>
      </c>
      <c r="W16" s="8">
        <v>3</v>
      </c>
    </row>
    <row r="17" spans="1:23" x14ac:dyDescent="0.25">
      <c r="A17" s="3" t="s">
        <v>246</v>
      </c>
      <c r="B17" s="130"/>
      <c r="C17" s="16"/>
      <c r="D17" s="16"/>
      <c r="E17" s="17">
        <v>1</v>
      </c>
      <c r="F17" s="23"/>
      <c r="G17" s="3" t="s">
        <v>185</v>
      </c>
      <c r="H17" s="3" t="s">
        <v>199</v>
      </c>
      <c r="I17" s="3" t="s">
        <v>200</v>
      </c>
      <c r="J17" s="3" t="s">
        <v>201</v>
      </c>
      <c r="K17" s="8">
        <v>1</v>
      </c>
      <c r="L17" s="23"/>
      <c r="M17" s="3" t="s">
        <v>18</v>
      </c>
      <c r="N17" s="3" t="s">
        <v>55</v>
      </c>
      <c r="O17" s="3" t="s">
        <v>56</v>
      </c>
      <c r="P17" s="3" t="s">
        <v>57</v>
      </c>
      <c r="Q17" s="8">
        <v>1</v>
      </c>
      <c r="S17" s="3" t="s">
        <v>185</v>
      </c>
      <c r="T17" s="3" t="s">
        <v>199</v>
      </c>
      <c r="U17" s="3" t="s">
        <v>200</v>
      </c>
      <c r="V17" s="3" t="s">
        <v>201</v>
      </c>
      <c r="W17" s="8">
        <v>1</v>
      </c>
    </row>
    <row r="18" spans="1:23" x14ac:dyDescent="0.25">
      <c r="A18" s="3" t="s">
        <v>18</v>
      </c>
      <c r="B18" s="3" t="s">
        <v>19</v>
      </c>
      <c r="C18" s="3" t="s">
        <v>20</v>
      </c>
      <c r="D18" s="7" t="s">
        <v>311</v>
      </c>
      <c r="E18" s="8">
        <v>1</v>
      </c>
      <c r="F18" s="23"/>
      <c r="G18" s="3" t="s">
        <v>185</v>
      </c>
      <c r="H18" s="3" t="s">
        <v>199</v>
      </c>
      <c r="I18" s="3" t="s">
        <v>200</v>
      </c>
      <c r="J18" s="3" t="s">
        <v>203</v>
      </c>
      <c r="K18" s="8">
        <v>1</v>
      </c>
      <c r="L18" s="23"/>
      <c r="M18" s="3" t="s">
        <v>18</v>
      </c>
      <c r="N18" s="3" t="s">
        <v>60</v>
      </c>
      <c r="O18" s="2" t="s">
        <v>61</v>
      </c>
      <c r="P18" s="3" t="s">
        <v>66</v>
      </c>
      <c r="Q18" s="8">
        <v>1</v>
      </c>
      <c r="S18" s="3" t="s">
        <v>185</v>
      </c>
      <c r="T18" s="3" t="s">
        <v>199</v>
      </c>
      <c r="U18" s="3" t="s">
        <v>200</v>
      </c>
      <c r="V18" s="3" t="s">
        <v>203</v>
      </c>
      <c r="W18" s="8">
        <v>4</v>
      </c>
    </row>
    <row r="19" spans="1:23" x14ac:dyDescent="0.25">
      <c r="A19" s="3" t="s">
        <v>18</v>
      </c>
      <c r="B19" s="3" t="s">
        <v>19</v>
      </c>
      <c r="C19" s="3" t="s">
        <v>20</v>
      </c>
      <c r="D19" s="3" t="s">
        <v>397</v>
      </c>
      <c r="E19" s="8">
        <v>1</v>
      </c>
      <c r="F19" s="23"/>
      <c r="G19" s="3" t="s">
        <v>185</v>
      </c>
      <c r="H19" s="3" t="s">
        <v>199</v>
      </c>
      <c r="I19" s="3" t="s">
        <v>200</v>
      </c>
      <c r="J19" s="3" t="s">
        <v>204</v>
      </c>
      <c r="K19" s="8">
        <v>1</v>
      </c>
      <c r="L19" s="23"/>
      <c r="M19" s="3" t="s">
        <v>18</v>
      </c>
      <c r="N19" s="3" t="s">
        <v>60</v>
      </c>
      <c r="O19" s="2" t="s">
        <v>61</v>
      </c>
      <c r="P19" s="3" t="s">
        <v>66</v>
      </c>
      <c r="Q19" s="8">
        <v>1</v>
      </c>
      <c r="S19" s="3" t="s">
        <v>185</v>
      </c>
      <c r="T19" s="3" t="s">
        <v>199</v>
      </c>
      <c r="U19" s="3" t="s">
        <v>200</v>
      </c>
      <c r="V19" s="3" t="s">
        <v>205</v>
      </c>
      <c r="W19" s="8">
        <v>1</v>
      </c>
    </row>
    <row r="20" spans="1:23" ht="15" customHeight="1" x14ac:dyDescent="0.25">
      <c r="A20" s="3" t="s">
        <v>18</v>
      </c>
      <c r="B20" s="3" t="s">
        <v>28</v>
      </c>
      <c r="C20" s="3" t="s">
        <v>29</v>
      </c>
      <c r="D20" s="2" t="s">
        <v>30</v>
      </c>
      <c r="E20" s="8">
        <v>1</v>
      </c>
      <c r="F20" s="23"/>
      <c r="G20" s="3" t="s">
        <v>185</v>
      </c>
      <c r="H20" s="3" t="s">
        <v>199</v>
      </c>
      <c r="I20" s="3" t="s">
        <v>200</v>
      </c>
      <c r="J20" s="3" t="s">
        <v>204</v>
      </c>
      <c r="K20" s="8">
        <v>2</v>
      </c>
      <c r="L20" s="23"/>
      <c r="M20" s="3" t="s">
        <v>18</v>
      </c>
      <c r="N20" s="3" t="s">
        <v>60</v>
      </c>
      <c r="O20" s="2" t="s">
        <v>61</v>
      </c>
      <c r="P20" s="3" t="s">
        <v>66</v>
      </c>
      <c r="Q20" s="8">
        <v>1</v>
      </c>
      <c r="S20" s="3" t="s">
        <v>185</v>
      </c>
      <c r="T20" s="3" t="s">
        <v>199</v>
      </c>
      <c r="U20" s="3" t="s">
        <v>200</v>
      </c>
      <c r="V20" s="3" t="s">
        <v>207</v>
      </c>
      <c r="W20" s="8">
        <v>6</v>
      </c>
    </row>
    <row r="21" spans="1:23" x14ac:dyDescent="0.25">
      <c r="A21" s="3" t="s">
        <v>18</v>
      </c>
      <c r="B21" s="3" t="s">
        <v>33</v>
      </c>
      <c r="C21" s="3" t="s">
        <v>38</v>
      </c>
      <c r="D21" s="3" t="s">
        <v>39</v>
      </c>
      <c r="E21" s="8">
        <v>1</v>
      </c>
      <c r="F21" s="23"/>
      <c r="G21" s="3" t="s">
        <v>185</v>
      </c>
      <c r="H21" s="3" t="s">
        <v>199</v>
      </c>
      <c r="I21" s="3" t="s">
        <v>200</v>
      </c>
      <c r="J21" s="3" t="s">
        <v>207</v>
      </c>
      <c r="K21" s="8">
        <v>1</v>
      </c>
      <c r="L21" s="23"/>
      <c r="M21" s="3" t="s">
        <v>18</v>
      </c>
      <c r="N21" s="3" t="s">
        <v>60</v>
      </c>
      <c r="O21" s="2" t="s">
        <v>61</v>
      </c>
      <c r="P21" s="3" t="s">
        <v>73</v>
      </c>
      <c r="Q21" s="8">
        <v>2</v>
      </c>
      <c r="S21" s="3" t="s">
        <v>185</v>
      </c>
      <c r="T21" s="3" t="s">
        <v>199</v>
      </c>
      <c r="U21" s="3" t="s">
        <v>200</v>
      </c>
      <c r="V21" s="3" t="s">
        <v>207</v>
      </c>
      <c r="W21" s="8">
        <v>1</v>
      </c>
    </row>
    <row r="22" spans="1:23" x14ac:dyDescent="0.25">
      <c r="A22" s="3" t="s">
        <v>18</v>
      </c>
      <c r="B22" s="3" t="s">
        <v>33</v>
      </c>
      <c r="C22" s="3" t="s">
        <v>38</v>
      </c>
      <c r="D22" s="3" t="s">
        <v>41</v>
      </c>
      <c r="E22" s="8">
        <v>1</v>
      </c>
      <c r="F22" s="23"/>
      <c r="G22" s="3" t="s">
        <v>185</v>
      </c>
      <c r="H22" s="3" t="s">
        <v>199</v>
      </c>
      <c r="I22" s="3" t="s">
        <v>200</v>
      </c>
      <c r="J22" s="3" t="s">
        <v>207</v>
      </c>
      <c r="K22" s="8">
        <v>1</v>
      </c>
      <c r="L22" s="23"/>
      <c r="M22" s="3" t="s">
        <v>18</v>
      </c>
      <c r="N22" s="3" t="s">
        <v>80</v>
      </c>
      <c r="O22" s="3" t="s">
        <v>81</v>
      </c>
      <c r="P22" s="3"/>
      <c r="Q22" s="8">
        <v>1</v>
      </c>
      <c r="S22" s="3" t="s">
        <v>185</v>
      </c>
      <c r="T22" s="3" t="s">
        <v>199</v>
      </c>
      <c r="U22" s="3" t="s">
        <v>200</v>
      </c>
      <c r="V22" s="3" t="s">
        <v>207</v>
      </c>
      <c r="W22" s="8">
        <v>1</v>
      </c>
    </row>
    <row r="23" spans="1:23" ht="15" customHeight="1" x14ac:dyDescent="0.25">
      <c r="A23" s="3" t="s">
        <v>18</v>
      </c>
      <c r="B23" s="3" t="s">
        <v>33</v>
      </c>
      <c r="C23" s="3" t="s">
        <v>38</v>
      </c>
      <c r="D23" s="3" t="s">
        <v>42</v>
      </c>
      <c r="E23" s="8">
        <v>1</v>
      </c>
      <c r="F23" s="23"/>
      <c r="G23" s="3" t="s">
        <v>185</v>
      </c>
      <c r="H23" s="3" t="s">
        <v>199</v>
      </c>
      <c r="I23" s="3" t="s">
        <v>200</v>
      </c>
      <c r="J23" s="3" t="s">
        <v>207</v>
      </c>
      <c r="K23" s="8">
        <v>1</v>
      </c>
      <c r="L23" s="23"/>
      <c r="M23" s="3" t="s">
        <v>18</v>
      </c>
      <c r="N23" s="3" t="s">
        <v>80</v>
      </c>
      <c r="O23" s="3" t="s">
        <v>81</v>
      </c>
      <c r="P23" s="7"/>
      <c r="Q23" s="8">
        <v>2</v>
      </c>
      <c r="S23" s="3" t="s">
        <v>185</v>
      </c>
      <c r="T23" s="3" t="s">
        <v>199</v>
      </c>
      <c r="U23" s="3" t="s">
        <v>200</v>
      </c>
      <c r="V23" s="3" t="s">
        <v>207</v>
      </c>
      <c r="W23" s="8">
        <v>3</v>
      </c>
    </row>
    <row r="24" spans="1:23" x14ac:dyDescent="0.25">
      <c r="A24" s="3" t="s">
        <v>18</v>
      </c>
      <c r="B24" s="2" t="s">
        <v>44</v>
      </c>
      <c r="C24" s="7" t="s">
        <v>336</v>
      </c>
      <c r="D24" s="3"/>
      <c r="E24" s="8">
        <v>1</v>
      </c>
      <c r="F24" s="23"/>
      <c r="G24" s="3" t="s">
        <v>185</v>
      </c>
      <c r="H24" s="3" t="s">
        <v>199</v>
      </c>
      <c r="I24" s="3" t="s">
        <v>200</v>
      </c>
      <c r="J24" s="3" t="s">
        <v>207</v>
      </c>
      <c r="K24" s="8">
        <v>3</v>
      </c>
      <c r="L24" s="23"/>
      <c r="M24" s="3" t="s">
        <v>18</v>
      </c>
      <c r="N24" s="3" t="s">
        <v>80</v>
      </c>
      <c r="O24" s="3" t="s">
        <v>81</v>
      </c>
      <c r="P24" s="3"/>
      <c r="Q24" s="8">
        <v>1</v>
      </c>
      <c r="S24" s="3" t="s">
        <v>185</v>
      </c>
      <c r="T24" s="3" t="s">
        <v>199</v>
      </c>
      <c r="U24" s="3" t="s">
        <v>200</v>
      </c>
      <c r="V24" s="3" t="s">
        <v>207</v>
      </c>
      <c r="W24" s="8">
        <v>10</v>
      </c>
    </row>
    <row r="25" spans="1:23" x14ac:dyDescent="0.25">
      <c r="A25" s="3" t="s">
        <v>18</v>
      </c>
      <c r="B25" s="2" t="s">
        <v>44</v>
      </c>
      <c r="C25" s="7" t="s">
        <v>336</v>
      </c>
      <c r="D25" s="7"/>
      <c r="E25" s="8">
        <v>11</v>
      </c>
      <c r="F25" s="23"/>
      <c r="G25" s="3" t="s">
        <v>185</v>
      </c>
      <c r="H25" s="3" t="s">
        <v>199</v>
      </c>
      <c r="I25" s="3" t="s">
        <v>200</v>
      </c>
      <c r="J25" s="3" t="s">
        <v>207</v>
      </c>
      <c r="K25" s="8">
        <v>1</v>
      </c>
      <c r="L25" s="23"/>
      <c r="M25" s="3" t="s">
        <v>18</v>
      </c>
      <c r="N25" s="3" t="s">
        <v>80</v>
      </c>
      <c r="O25" s="3" t="s">
        <v>81</v>
      </c>
      <c r="P25" s="3"/>
      <c r="Q25" s="8">
        <v>1</v>
      </c>
      <c r="S25" s="3" t="s">
        <v>185</v>
      </c>
      <c r="T25" s="3" t="s">
        <v>212</v>
      </c>
      <c r="U25" s="3" t="s">
        <v>213</v>
      </c>
      <c r="V25" s="3" t="s">
        <v>214</v>
      </c>
      <c r="W25" s="8">
        <v>17</v>
      </c>
    </row>
    <row r="26" spans="1:23" x14ac:dyDescent="0.25">
      <c r="A26" s="3" t="s">
        <v>18</v>
      </c>
      <c r="B26" s="2" t="s">
        <v>44</v>
      </c>
      <c r="C26" s="7" t="s">
        <v>336</v>
      </c>
      <c r="D26" s="3"/>
      <c r="E26" s="8">
        <v>1</v>
      </c>
      <c r="F26" s="23"/>
      <c r="G26" s="3" t="s">
        <v>185</v>
      </c>
      <c r="H26" s="3" t="s">
        <v>199</v>
      </c>
      <c r="I26" s="3" t="s">
        <v>200</v>
      </c>
      <c r="J26" s="3" t="s">
        <v>207</v>
      </c>
      <c r="K26" s="8">
        <v>1</v>
      </c>
      <c r="L26" s="23"/>
      <c r="M26" s="3" t="s">
        <v>18</v>
      </c>
      <c r="N26" s="3" t="s">
        <v>104</v>
      </c>
      <c r="O26" s="2" t="s">
        <v>105</v>
      </c>
      <c r="P26" s="3" t="s">
        <v>106</v>
      </c>
      <c r="Q26" s="8">
        <v>1</v>
      </c>
      <c r="S26" s="3" t="s">
        <v>185</v>
      </c>
      <c r="T26" s="3" t="s">
        <v>212</v>
      </c>
      <c r="U26" s="3" t="s">
        <v>213</v>
      </c>
      <c r="V26" s="3" t="s">
        <v>214</v>
      </c>
      <c r="W26" s="8">
        <v>1</v>
      </c>
    </row>
    <row r="27" spans="1:23" x14ac:dyDescent="0.25">
      <c r="A27" s="3" t="s">
        <v>18</v>
      </c>
      <c r="B27" s="2" t="s">
        <v>44</v>
      </c>
      <c r="C27" s="7" t="s">
        <v>336</v>
      </c>
      <c r="D27" s="3"/>
      <c r="E27" s="8">
        <v>1</v>
      </c>
      <c r="F27" s="23"/>
      <c r="G27" s="3" t="s">
        <v>185</v>
      </c>
      <c r="H27" s="3" t="s">
        <v>199</v>
      </c>
      <c r="I27" s="3" t="s">
        <v>200</v>
      </c>
      <c r="J27" s="3" t="s">
        <v>207</v>
      </c>
      <c r="K27" s="8">
        <v>1</v>
      </c>
      <c r="L27" s="23"/>
      <c r="M27" s="3" t="s">
        <v>18</v>
      </c>
      <c r="N27" s="3" t="s">
        <v>112</v>
      </c>
      <c r="O27" s="2" t="s">
        <v>113</v>
      </c>
      <c r="P27" s="3" t="s">
        <v>114</v>
      </c>
      <c r="Q27" s="8">
        <v>1</v>
      </c>
      <c r="S27" s="3" t="s">
        <v>185</v>
      </c>
      <c r="T27" s="3" t="s">
        <v>212</v>
      </c>
      <c r="U27" s="3" t="s">
        <v>213</v>
      </c>
      <c r="V27" s="3" t="s">
        <v>214</v>
      </c>
      <c r="W27" s="8">
        <v>1</v>
      </c>
    </row>
    <row r="28" spans="1:23" x14ac:dyDescent="0.25">
      <c r="A28" s="3" t="s">
        <v>18</v>
      </c>
      <c r="B28" s="2" t="s">
        <v>44</v>
      </c>
      <c r="C28" s="7" t="s">
        <v>336</v>
      </c>
      <c r="D28" s="3"/>
      <c r="E28" s="8">
        <v>1</v>
      </c>
      <c r="F28" s="23"/>
      <c r="G28" s="3" t="s">
        <v>185</v>
      </c>
      <c r="H28" s="3" t="s">
        <v>199</v>
      </c>
      <c r="I28" s="3" t="s">
        <v>200</v>
      </c>
      <c r="J28" s="3" t="s">
        <v>207</v>
      </c>
      <c r="K28" s="8">
        <v>2</v>
      </c>
      <c r="L28" s="23"/>
      <c r="M28" s="3" t="s">
        <v>18</v>
      </c>
      <c r="N28" s="3" t="s">
        <v>112</v>
      </c>
      <c r="O28" s="2" t="s">
        <v>113</v>
      </c>
      <c r="P28" s="3"/>
      <c r="Q28" s="11">
        <v>1</v>
      </c>
      <c r="S28" s="3" t="s">
        <v>185</v>
      </c>
      <c r="T28" s="3" t="s">
        <v>212</v>
      </c>
      <c r="U28" s="3" t="s">
        <v>213</v>
      </c>
      <c r="V28" s="3" t="s">
        <v>214</v>
      </c>
      <c r="W28" s="8">
        <v>2</v>
      </c>
    </row>
    <row r="29" spans="1:23" x14ac:dyDescent="0.25">
      <c r="A29" s="3" t="s">
        <v>18</v>
      </c>
      <c r="B29" s="2" t="s">
        <v>44</v>
      </c>
      <c r="C29" s="7" t="s">
        <v>336</v>
      </c>
      <c r="D29" s="3"/>
      <c r="E29" s="8">
        <v>3</v>
      </c>
      <c r="F29" s="23"/>
      <c r="G29" s="3" t="s">
        <v>185</v>
      </c>
      <c r="H29" s="3" t="s">
        <v>199</v>
      </c>
      <c r="I29" s="3" t="s">
        <v>200</v>
      </c>
      <c r="J29" s="3" t="s">
        <v>207</v>
      </c>
      <c r="K29" s="8">
        <v>7</v>
      </c>
      <c r="L29" s="23"/>
      <c r="M29" s="3" t="s">
        <v>18</v>
      </c>
      <c r="N29" s="3" t="s">
        <v>112</v>
      </c>
      <c r="O29" s="2" t="s">
        <v>127</v>
      </c>
      <c r="P29" s="3"/>
      <c r="Q29" s="11">
        <v>1</v>
      </c>
      <c r="S29" s="3" t="s">
        <v>185</v>
      </c>
      <c r="T29" s="3" t="s">
        <v>212</v>
      </c>
      <c r="U29" s="3" t="s">
        <v>213</v>
      </c>
      <c r="V29" s="3" t="s">
        <v>214</v>
      </c>
      <c r="W29" s="8">
        <v>1</v>
      </c>
    </row>
    <row r="30" spans="1:23" x14ac:dyDescent="0.25">
      <c r="A30" s="3" t="s">
        <v>18</v>
      </c>
      <c r="B30" s="3" t="s">
        <v>60</v>
      </c>
      <c r="C30" s="2" t="s">
        <v>61</v>
      </c>
      <c r="D30" s="2" t="s">
        <v>64</v>
      </c>
      <c r="E30" s="8">
        <v>1</v>
      </c>
      <c r="F30" s="23"/>
      <c r="G30" s="3" t="s">
        <v>185</v>
      </c>
      <c r="H30" s="3" t="s">
        <v>212</v>
      </c>
      <c r="I30" s="3" t="s">
        <v>213</v>
      </c>
      <c r="J30" s="3" t="s">
        <v>214</v>
      </c>
      <c r="K30" s="8">
        <v>3</v>
      </c>
      <c r="L30" s="23"/>
      <c r="M30" s="3" t="s">
        <v>18</v>
      </c>
      <c r="N30" s="3" t="s">
        <v>126</v>
      </c>
      <c r="O30" s="2" t="s">
        <v>139</v>
      </c>
      <c r="P30" s="3" t="s">
        <v>140</v>
      </c>
      <c r="Q30" s="8">
        <v>1</v>
      </c>
      <c r="S30" s="3" t="s">
        <v>185</v>
      </c>
      <c r="T30" s="3" t="s">
        <v>212</v>
      </c>
      <c r="U30" s="3" t="s">
        <v>213</v>
      </c>
      <c r="V30" s="3" t="s">
        <v>214</v>
      </c>
      <c r="W30" s="8">
        <v>1</v>
      </c>
    </row>
    <row r="31" spans="1:23" ht="15" customHeight="1" x14ac:dyDescent="0.25">
      <c r="A31" s="3" t="s">
        <v>18</v>
      </c>
      <c r="B31" s="3" t="s">
        <v>60</v>
      </c>
      <c r="C31" s="2" t="s">
        <v>61</v>
      </c>
      <c r="D31" s="3" t="s">
        <v>66</v>
      </c>
      <c r="E31" s="8">
        <v>1</v>
      </c>
      <c r="F31" s="23"/>
      <c r="G31" s="3" t="s">
        <v>185</v>
      </c>
      <c r="H31" s="3" t="s">
        <v>212</v>
      </c>
      <c r="I31" s="3" t="s">
        <v>213</v>
      </c>
      <c r="J31" s="3" t="s">
        <v>214</v>
      </c>
      <c r="K31" s="8">
        <v>2</v>
      </c>
      <c r="L31" s="23"/>
      <c r="M31" s="3" t="s">
        <v>18</v>
      </c>
      <c r="N31" s="3" t="s">
        <v>153</v>
      </c>
      <c r="O31" s="2" t="s">
        <v>154</v>
      </c>
      <c r="P31" s="3" t="s">
        <v>155</v>
      </c>
      <c r="Q31" s="8">
        <v>1</v>
      </c>
      <c r="S31" s="3" t="s">
        <v>185</v>
      </c>
      <c r="T31" s="3" t="s">
        <v>219</v>
      </c>
      <c r="U31" s="128" t="s">
        <v>220</v>
      </c>
      <c r="V31" s="129" t="s">
        <v>221</v>
      </c>
      <c r="W31" s="5">
        <v>1</v>
      </c>
    </row>
    <row r="32" spans="1:23" ht="15" customHeight="1" x14ac:dyDescent="0.25">
      <c r="A32" s="3" t="s">
        <v>18</v>
      </c>
      <c r="B32" s="3" t="s">
        <v>60</v>
      </c>
      <c r="C32" s="2" t="s">
        <v>61</v>
      </c>
      <c r="D32" s="3" t="s">
        <v>66</v>
      </c>
      <c r="E32" s="8">
        <v>5</v>
      </c>
      <c r="F32" s="23"/>
      <c r="G32" s="3" t="s">
        <v>185</v>
      </c>
      <c r="H32" s="3" t="s">
        <v>212</v>
      </c>
      <c r="I32" s="3" t="s">
        <v>213</v>
      </c>
      <c r="J32" s="3" t="s">
        <v>214</v>
      </c>
      <c r="K32" s="8">
        <v>2</v>
      </c>
      <c r="L32" s="23"/>
      <c r="M32" s="3" t="s">
        <v>18</v>
      </c>
      <c r="N32" s="3"/>
      <c r="O32" s="2" t="s">
        <v>270</v>
      </c>
      <c r="P32" s="131"/>
      <c r="Q32" s="8">
        <v>1</v>
      </c>
      <c r="S32" s="3" t="s">
        <v>185</v>
      </c>
      <c r="T32" s="3" t="s">
        <v>219</v>
      </c>
      <c r="U32" s="128" t="s">
        <v>220</v>
      </c>
      <c r="V32" s="129" t="s">
        <v>221</v>
      </c>
      <c r="W32" s="132">
        <v>1</v>
      </c>
    </row>
    <row r="33" spans="1:23" ht="15.75" x14ac:dyDescent="0.25">
      <c r="A33" s="3" t="s">
        <v>18</v>
      </c>
      <c r="B33" s="3" t="s">
        <v>60</v>
      </c>
      <c r="C33" s="2" t="s">
        <v>61</v>
      </c>
      <c r="D33" s="3" t="s">
        <v>66</v>
      </c>
      <c r="E33" s="8">
        <v>2</v>
      </c>
      <c r="F33" s="23"/>
      <c r="G33" s="3" t="s">
        <v>185</v>
      </c>
      <c r="H33" s="3" t="s">
        <v>212</v>
      </c>
      <c r="I33" s="3" t="s">
        <v>213</v>
      </c>
      <c r="J33" s="3" t="s">
        <v>214</v>
      </c>
      <c r="K33" s="8">
        <v>1</v>
      </c>
      <c r="L33" s="23"/>
      <c r="M33" s="3" t="s">
        <v>162</v>
      </c>
      <c r="N33" s="3" t="s">
        <v>163</v>
      </c>
      <c r="O33" s="3" t="s">
        <v>164</v>
      </c>
      <c r="P33" s="131"/>
      <c r="Q33" s="8">
        <v>2</v>
      </c>
      <c r="S33" s="3" t="s">
        <v>185</v>
      </c>
      <c r="T33" s="3" t="s">
        <v>219</v>
      </c>
      <c r="U33" s="128" t="s">
        <v>220</v>
      </c>
      <c r="V33" s="129" t="s">
        <v>221</v>
      </c>
      <c r="W33" s="8">
        <v>1</v>
      </c>
    </row>
    <row r="34" spans="1:23" ht="15.75" x14ac:dyDescent="0.25">
      <c r="A34" s="3" t="s">
        <v>18</v>
      </c>
      <c r="B34" s="3" t="s">
        <v>60</v>
      </c>
      <c r="C34" s="2" t="s">
        <v>61</v>
      </c>
      <c r="D34" s="3" t="s">
        <v>66</v>
      </c>
      <c r="E34" s="8">
        <v>1</v>
      </c>
      <c r="F34" s="23"/>
      <c r="G34" s="3" t="s">
        <v>185</v>
      </c>
      <c r="H34" s="3" t="s">
        <v>212</v>
      </c>
      <c r="I34" s="3" t="s">
        <v>213</v>
      </c>
      <c r="J34" s="3" t="s">
        <v>214</v>
      </c>
      <c r="K34" s="8">
        <v>1</v>
      </c>
      <c r="L34" s="23"/>
      <c r="M34" s="3" t="s">
        <v>162</v>
      </c>
      <c r="N34" s="3" t="s">
        <v>163</v>
      </c>
      <c r="O34" s="3" t="s">
        <v>164</v>
      </c>
      <c r="P34" s="131"/>
      <c r="Q34" s="8">
        <v>1</v>
      </c>
      <c r="S34" s="3" t="s">
        <v>185</v>
      </c>
      <c r="T34" s="3" t="s">
        <v>239</v>
      </c>
      <c r="U34" s="3" t="s">
        <v>240</v>
      </c>
      <c r="V34" s="3" t="s">
        <v>241</v>
      </c>
      <c r="W34" s="8">
        <v>1</v>
      </c>
    </row>
    <row r="35" spans="1:23" x14ac:dyDescent="0.25">
      <c r="A35" s="3" t="s">
        <v>18</v>
      </c>
      <c r="B35" s="3" t="s">
        <v>60</v>
      </c>
      <c r="C35" s="2" t="s">
        <v>61</v>
      </c>
      <c r="D35" s="3" t="s">
        <v>66</v>
      </c>
      <c r="E35" s="8">
        <v>1</v>
      </c>
      <c r="F35" s="23"/>
      <c r="G35" s="3" t="s">
        <v>185</v>
      </c>
      <c r="H35" s="3" t="s">
        <v>212</v>
      </c>
      <c r="I35" s="3" t="s">
        <v>213</v>
      </c>
      <c r="J35" s="3" t="s">
        <v>214</v>
      </c>
      <c r="K35" s="8">
        <v>1</v>
      </c>
      <c r="L35" s="23"/>
      <c r="M35" s="3" t="s">
        <v>162</v>
      </c>
      <c r="N35" s="3" t="s">
        <v>170</v>
      </c>
      <c r="O35" s="2" t="s">
        <v>171</v>
      </c>
      <c r="P35" s="3"/>
      <c r="Q35" s="8">
        <v>1</v>
      </c>
      <c r="S35" s="3" t="s">
        <v>185</v>
      </c>
      <c r="T35" s="3" t="s">
        <v>239</v>
      </c>
      <c r="U35" s="3" t="s">
        <v>240</v>
      </c>
      <c r="V35" s="3" t="s">
        <v>241</v>
      </c>
      <c r="W35" s="5">
        <v>1</v>
      </c>
    </row>
    <row r="36" spans="1:23" x14ac:dyDescent="0.25">
      <c r="A36" s="3" t="s">
        <v>18</v>
      </c>
      <c r="B36" s="3" t="s">
        <v>60</v>
      </c>
      <c r="C36" s="2" t="s">
        <v>61</v>
      </c>
      <c r="D36" s="3" t="s">
        <v>74</v>
      </c>
      <c r="E36" s="8">
        <v>1</v>
      </c>
      <c r="F36" s="23"/>
      <c r="G36" s="3" t="s">
        <v>185</v>
      </c>
      <c r="H36" s="3" t="s">
        <v>212</v>
      </c>
      <c r="I36" s="3" t="s">
        <v>213</v>
      </c>
      <c r="J36" s="3" t="s">
        <v>214</v>
      </c>
      <c r="K36" s="8">
        <v>1</v>
      </c>
      <c r="L36" s="23"/>
      <c r="Q36">
        <f>SUM(Q3:Q35)</f>
        <v>37</v>
      </c>
      <c r="S36" s="3" t="s">
        <v>185</v>
      </c>
      <c r="T36" s="3" t="s">
        <v>239</v>
      </c>
      <c r="U36" s="3" t="s">
        <v>240</v>
      </c>
      <c r="V36" s="3" t="s">
        <v>241</v>
      </c>
      <c r="W36" s="5">
        <v>1</v>
      </c>
    </row>
    <row r="37" spans="1:23" x14ac:dyDescent="0.25">
      <c r="A37" s="3" t="s">
        <v>18</v>
      </c>
      <c r="B37" s="3" t="s">
        <v>60</v>
      </c>
      <c r="C37" s="2" t="s">
        <v>61</v>
      </c>
      <c r="D37" s="3" t="s">
        <v>76</v>
      </c>
      <c r="E37" s="8">
        <v>1</v>
      </c>
      <c r="F37" s="23"/>
      <c r="G37" s="3" t="s">
        <v>185</v>
      </c>
      <c r="H37" s="3" t="s">
        <v>212</v>
      </c>
      <c r="I37" s="3" t="s">
        <v>213</v>
      </c>
      <c r="J37" s="3" t="s">
        <v>214</v>
      </c>
      <c r="K37" s="8">
        <v>1</v>
      </c>
      <c r="S37" s="3" t="s">
        <v>18</v>
      </c>
      <c r="T37" s="3" t="s">
        <v>23</v>
      </c>
      <c r="U37" s="2" t="s">
        <v>24</v>
      </c>
      <c r="V37" s="3"/>
      <c r="W37" s="8">
        <v>2</v>
      </c>
    </row>
    <row r="38" spans="1:23" x14ac:dyDescent="0.25">
      <c r="A38" s="3" t="s">
        <v>18</v>
      </c>
      <c r="B38" s="3" t="s">
        <v>60</v>
      </c>
      <c r="C38" s="2" t="s">
        <v>61</v>
      </c>
      <c r="D38" s="3" t="s">
        <v>66</v>
      </c>
      <c r="E38" s="5">
        <v>1</v>
      </c>
      <c r="F38" s="23"/>
      <c r="G38" s="3" t="s">
        <v>185</v>
      </c>
      <c r="H38" s="3" t="s">
        <v>212</v>
      </c>
      <c r="I38" s="3" t="s">
        <v>213</v>
      </c>
      <c r="J38" s="3" t="s">
        <v>214</v>
      </c>
      <c r="K38" s="8">
        <v>1</v>
      </c>
      <c r="S38" s="3" t="s">
        <v>18</v>
      </c>
      <c r="T38" s="3" t="s">
        <v>33</v>
      </c>
      <c r="U38" s="3" t="s">
        <v>34</v>
      </c>
      <c r="V38" s="3" t="s">
        <v>35</v>
      </c>
      <c r="W38" s="8">
        <v>1</v>
      </c>
    </row>
    <row r="39" spans="1:23" x14ac:dyDescent="0.25">
      <c r="A39" s="3" t="s">
        <v>18</v>
      </c>
      <c r="B39" s="3" t="s">
        <v>60</v>
      </c>
      <c r="C39" s="2" t="s">
        <v>61</v>
      </c>
      <c r="D39" s="3" t="s">
        <v>312</v>
      </c>
      <c r="E39" s="8">
        <v>1</v>
      </c>
      <c r="F39" s="23"/>
      <c r="G39" s="3" t="s">
        <v>185</v>
      </c>
      <c r="H39" s="3" t="s">
        <v>219</v>
      </c>
      <c r="I39" s="128" t="s">
        <v>220</v>
      </c>
      <c r="J39" s="3" t="s">
        <v>224</v>
      </c>
      <c r="K39" s="8">
        <v>1</v>
      </c>
      <c r="S39" s="3" t="s">
        <v>18</v>
      </c>
      <c r="T39" s="3" t="s">
        <v>33</v>
      </c>
      <c r="U39" s="3" t="s">
        <v>34</v>
      </c>
      <c r="V39" s="3" t="s">
        <v>35</v>
      </c>
      <c r="W39" s="8">
        <v>1</v>
      </c>
    </row>
    <row r="40" spans="1:23" x14ac:dyDescent="0.25">
      <c r="A40" s="3" t="s">
        <v>18</v>
      </c>
      <c r="B40" s="133" t="s">
        <v>304</v>
      </c>
      <c r="C40" s="3" t="s">
        <v>305</v>
      </c>
      <c r="D40" s="3" t="s">
        <v>303</v>
      </c>
      <c r="E40" s="8">
        <v>1</v>
      </c>
      <c r="F40" s="23"/>
      <c r="G40" s="3" t="s">
        <v>18</v>
      </c>
      <c r="H40" s="3" t="s">
        <v>19</v>
      </c>
      <c r="I40" s="3" t="s">
        <v>20</v>
      </c>
      <c r="J40" s="3"/>
      <c r="K40" s="8">
        <v>1</v>
      </c>
      <c r="L40" s="23"/>
      <c r="S40" s="3" t="s">
        <v>18</v>
      </c>
      <c r="T40" s="3" t="s">
        <v>33</v>
      </c>
      <c r="U40" s="3" t="s">
        <v>34</v>
      </c>
      <c r="V40" s="3" t="s">
        <v>37</v>
      </c>
      <c r="W40" s="8">
        <v>1</v>
      </c>
    </row>
    <row r="41" spans="1:23" x14ac:dyDescent="0.25">
      <c r="A41" s="3" t="s">
        <v>18</v>
      </c>
      <c r="B41" s="3" t="s">
        <v>80</v>
      </c>
      <c r="C41" s="3" t="s">
        <v>81</v>
      </c>
      <c r="D41" s="3"/>
      <c r="E41" s="8">
        <v>3</v>
      </c>
      <c r="F41" s="23"/>
      <c r="G41" s="3" t="s">
        <v>18</v>
      </c>
      <c r="H41" s="3" t="s">
        <v>23</v>
      </c>
      <c r="I41" s="2" t="s">
        <v>24</v>
      </c>
      <c r="J41" s="3"/>
      <c r="K41" s="8">
        <v>1</v>
      </c>
      <c r="L41" s="23"/>
      <c r="S41" s="3" t="s">
        <v>18</v>
      </c>
      <c r="T41" s="2" t="s">
        <v>44</v>
      </c>
      <c r="U41" s="2"/>
      <c r="V41" s="3"/>
      <c r="W41" s="8">
        <v>1</v>
      </c>
    </row>
    <row r="42" spans="1:23" x14ac:dyDescent="0.25">
      <c r="A42" s="3" t="s">
        <v>18</v>
      </c>
      <c r="B42" s="3" t="s">
        <v>80</v>
      </c>
      <c r="C42" s="3" t="s">
        <v>81</v>
      </c>
      <c r="D42" s="3"/>
      <c r="E42" s="8">
        <v>1</v>
      </c>
      <c r="F42" s="23"/>
      <c r="G42" s="3" t="s">
        <v>18</v>
      </c>
      <c r="H42" s="3" t="s">
        <v>248</v>
      </c>
      <c r="I42" s="2" t="s">
        <v>249</v>
      </c>
      <c r="J42" s="3" t="s">
        <v>250</v>
      </c>
      <c r="K42" s="8">
        <v>1</v>
      </c>
      <c r="L42" s="23"/>
      <c r="S42" s="3" t="s">
        <v>18</v>
      </c>
      <c r="T42" s="2" t="s">
        <v>44</v>
      </c>
      <c r="U42" s="2"/>
      <c r="V42" s="3"/>
      <c r="W42" s="8">
        <v>1</v>
      </c>
    </row>
    <row r="43" spans="1:23" x14ac:dyDescent="0.25">
      <c r="A43" s="3" t="s">
        <v>18</v>
      </c>
      <c r="B43" s="3" t="s">
        <v>80</v>
      </c>
      <c r="C43" s="3" t="s">
        <v>81</v>
      </c>
      <c r="D43" s="3"/>
      <c r="E43" s="8">
        <v>1</v>
      </c>
      <c r="F43" s="23"/>
      <c r="G43" s="3" t="s">
        <v>18</v>
      </c>
      <c r="H43" s="3" t="s">
        <v>28</v>
      </c>
      <c r="I43" s="3" t="s">
        <v>29</v>
      </c>
      <c r="J43" s="3" t="s">
        <v>30</v>
      </c>
      <c r="K43" s="8">
        <v>1</v>
      </c>
      <c r="L43" s="23"/>
      <c r="S43" s="3" t="s">
        <v>18</v>
      </c>
      <c r="T43" s="2" t="s">
        <v>44</v>
      </c>
      <c r="U43" s="2"/>
      <c r="V43" s="3"/>
      <c r="W43" s="8">
        <v>1</v>
      </c>
    </row>
    <row r="44" spans="1:23" x14ac:dyDescent="0.25">
      <c r="A44" s="3" t="s">
        <v>18</v>
      </c>
      <c r="B44" s="3" t="s">
        <v>80</v>
      </c>
      <c r="C44" s="3" t="s">
        <v>81</v>
      </c>
      <c r="D44" s="3"/>
      <c r="E44" s="8">
        <v>1</v>
      </c>
      <c r="F44" s="23"/>
      <c r="G44" s="3" t="s">
        <v>18</v>
      </c>
      <c r="H44" s="3" t="s">
        <v>28</v>
      </c>
      <c r="I44" s="3" t="s">
        <v>251</v>
      </c>
      <c r="J44" s="3" t="s">
        <v>252</v>
      </c>
      <c r="K44" s="8">
        <v>1</v>
      </c>
      <c r="L44" s="23"/>
      <c r="S44" s="3" t="s">
        <v>18</v>
      </c>
      <c r="T44" s="3" t="s">
        <v>55</v>
      </c>
      <c r="U44" s="3" t="s">
        <v>56</v>
      </c>
      <c r="V44" s="7"/>
      <c r="W44" s="11">
        <v>1</v>
      </c>
    </row>
    <row r="45" spans="1:23" x14ac:dyDescent="0.25">
      <c r="A45" s="3" t="s">
        <v>18</v>
      </c>
      <c r="B45" s="3" t="s">
        <v>80</v>
      </c>
      <c r="C45" s="3" t="s">
        <v>81</v>
      </c>
      <c r="D45" s="3"/>
      <c r="E45" s="8">
        <v>1</v>
      </c>
      <c r="F45" s="23"/>
      <c r="G45" s="3" t="s">
        <v>18</v>
      </c>
      <c r="H45" s="3" t="s">
        <v>33</v>
      </c>
      <c r="I45" s="3" t="s">
        <v>38</v>
      </c>
      <c r="J45" s="3" t="s">
        <v>41</v>
      </c>
      <c r="K45" s="8">
        <v>1</v>
      </c>
      <c r="L45" s="23"/>
      <c r="S45" s="3" t="s">
        <v>18</v>
      </c>
      <c r="T45" s="3" t="s">
        <v>80</v>
      </c>
      <c r="U45" s="3" t="s">
        <v>81</v>
      </c>
      <c r="V45" s="3"/>
      <c r="W45" s="8">
        <v>1</v>
      </c>
    </row>
    <row r="46" spans="1:23" x14ac:dyDescent="0.25">
      <c r="A46" s="3" t="s">
        <v>18</v>
      </c>
      <c r="B46" s="3" t="s">
        <v>80</v>
      </c>
      <c r="C46" s="3" t="s">
        <v>81</v>
      </c>
      <c r="D46" s="3"/>
      <c r="E46" s="8">
        <v>6</v>
      </c>
      <c r="F46" s="23"/>
      <c r="G46" s="3" t="s">
        <v>18</v>
      </c>
      <c r="H46" s="3" t="s">
        <v>33</v>
      </c>
      <c r="I46" s="3" t="s">
        <v>38</v>
      </c>
      <c r="J46" s="3" t="s">
        <v>39</v>
      </c>
      <c r="K46" s="8">
        <v>1</v>
      </c>
      <c r="L46" s="23"/>
      <c r="S46" s="3" t="s">
        <v>18</v>
      </c>
      <c r="T46" s="3" t="s">
        <v>80</v>
      </c>
      <c r="U46" s="3" t="s">
        <v>81</v>
      </c>
      <c r="V46" s="3"/>
      <c r="W46" s="8">
        <v>2</v>
      </c>
    </row>
    <row r="47" spans="1:23" x14ac:dyDescent="0.25">
      <c r="A47" s="3" t="s">
        <v>18</v>
      </c>
      <c r="B47" s="3" t="s">
        <v>80</v>
      </c>
      <c r="C47" s="3" t="s">
        <v>81</v>
      </c>
      <c r="D47" s="3"/>
      <c r="E47" s="8">
        <v>1</v>
      </c>
      <c r="F47" s="23"/>
      <c r="G47" s="3" t="s">
        <v>18</v>
      </c>
      <c r="H47" s="2" t="s">
        <v>44</v>
      </c>
      <c r="I47" s="7" t="s">
        <v>336</v>
      </c>
      <c r="J47" s="7"/>
      <c r="K47" s="11">
        <v>2</v>
      </c>
      <c r="L47" s="23"/>
      <c r="S47" s="3" t="s">
        <v>18</v>
      </c>
      <c r="T47" s="3" t="s">
        <v>80</v>
      </c>
      <c r="U47" s="3" t="s">
        <v>81</v>
      </c>
      <c r="V47" s="3"/>
      <c r="W47" s="8">
        <v>1</v>
      </c>
    </row>
    <row r="48" spans="1:23" x14ac:dyDescent="0.25">
      <c r="A48" s="3" t="s">
        <v>18</v>
      </c>
      <c r="B48" s="3" t="s">
        <v>80</v>
      </c>
      <c r="C48" s="3" t="s">
        <v>81</v>
      </c>
      <c r="D48" s="3"/>
      <c r="E48" s="8">
        <v>1</v>
      </c>
      <c r="F48" s="23"/>
      <c r="G48" s="3" t="s">
        <v>18</v>
      </c>
      <c r="H48" s="2" t="s">
        <v>44</v>
      </c>
      <c r="I48" s="7" t="s">
        <v>336</v>
      </c>
      <c r="J48" s="3"/>
      <c r="K48" s="8">
        <v>1</v>
      </c>
      <c r="L48" s="23"/>
      <c r="N48" t="s">
        <v>436</v>
      </c>
      <c r="S48" s="3" t="s">
        <v>18</v>
      </c>
      <c r="T48" s="3" t="s">
        <v>80</v>
      </c>
      <c r="U48" s="3" t="s">
        <v>81</v>
      </c>
      <c r="V48" s="3"/>
      <c r="W48" s="8">
        <v>1</v>
      </c>
    </row>
    <row r="49" spans="1:23" x14ac:dyDescent="0.25">
      <c r="A49" s="3" t="s">
        <v>18</v>
      </c>
      <c r="B49" s="3" t="s">
        <v>80</v>
      </c>
      <c r="C49" s="3" t="s">
        <v>81</v>
      </c>
      <c r="D49" s="3"/>
      <c r="E49" s="8">
        <v>1</v>
      </c>
      <c r="F49" s="23"/>
      <c r="G49" s="3" t="s">
        <v>18</v>
      </c>
      <c r="H49" s="2" t="s">
        <v>44</v>
      </c>
      <c r="I49" s="7" t="s">
        <v>336</v>
      </c>
      <c r="J49" s="3"/>
      <c r="K49" s="8">
        <v>1</v>
      </c>
      <c r="L49" s="23"/>
      <c r="S49" s="3" t="s">
        <v>18</v>
      </c>
      <c r="T49" s="3" t="s">
        <v>80</v>
      </c>
      <c r="U49" s="3" t="s">
        <v>81</v>
      </c>
      <c r="V49" s="3"/>
      <c r="W49" s="8">
        <v>2</v>
      </c>
    </row>
    <row r="50" spans="1:23" x14ac:dyDescent="0.25">
      <c r="A50" s="3" t="s">
        <v>18</v>
      </c>
      <c r="B50" s="3" t="s">
        <v>80</v>
      </c>
      <c r="C50" s="3" t="s">
        <v>81</v>
      </c>
      <c r="D50" s="3"/>
      <c r="E50" s="8">
        <v>1</v>
      </c>
      <c r="F50" s="23"/>
      <c r="G50" s="3" t="s">
        <v>18</v>
      </c>
      <c r="H50" s="2" t="s">
        <v>44</v>
      </c>
      <c r="I50" s="7" t="s">
        <v>336</v>
      </c>
      <c r="J50" s="3"/>
      <c r="K50" s="8">
        <v>1</v>
      </c>
      <c r="L50" s="23"/>
      <c r="S50" s="3" t="s">
        <v>18</v>
      </c>
      <c r="T50" s="3" t="s">
        <v>80</v>
      </c>
      <c r="U50" s="3" t="s">
        <v>81</v>
      </c>
      <c r="V50" s="3"/>
      <c r="W50" s="8">
        <v>1</v>
      </c>
    </row>
    <row r="51" spans="1:23" x14ac:dyDescent="0.25">
      <c r="A51" s="3" t="s">
        <v>18</v>
      </c>
      <c r="B51" s="3" t="s">
        <v>80</v>
      </c>
      <c r="C51" s="3" t="s">
        <v>81</v>
      </c>
      <c r="D51" s="7"/>
      <c r="E51" s="8">
        <v>2</v>
      </c>
      <c r="F51" s="23"/>
      <c r="G51" s="3" t="s">
        <v>18</v>
      </c>
      <c r="H51" s="2" t="s">
        <v>44</v>
      </c>
      <c r="I51" s="7" t="s">
        <v>336</v>
      </c>
      <c r="J51" s="3"/>
      <c r="K51" s="8">
        <v>1</v>
      </c>
      <c r="L51" s="23"/>
      <c r="S51" s="3" t="s">
        <v>18</v>
      </c>
      <c r="T51" s="3" t="s">
        <v>80</v>
      </c>
      <c r="U51" s="3" t="s">
        <v>81</v>
      </c>
      <c r="V51" s="3"/>
      <c r="W51" s="8">
        <v>1</v>
      </c>
    </row>
    <row r="52" spans="1:23" ht="15" customHeight="1" x14ac:dyDescent="0.25">
      <c r="A52" s="3" t="s">
        <v>18</v>
      </c>
      <c r="B52" s="3" t="s">
        <v>80</v>
      </c>
      <c r="C52" s="3" t="s">
        <v>81</v>
      </c>
      <c r="D52" s="3"/>
      <c r="E52" s="8">
        <v>2</v>
      </c>
      <c r="F52" s="23"/>
      <c r="G52" s="3" t="s">
        <v>18</v>
      </c>
      <c r="H52" s="2" t="s">
        <v>44</v>
      </c>
      <c r="I52" s="7" t="s">
        <v>336</v>
      </c>
      <c r="J52" s="7"/>
      <c r="K52" s="8">
        <v>1</v>
      </c>
      <c r="L52" s="23"/>
      <c r="S52" s="3" t="s">
        <v>18</v>
      </c>
      <c r="T52" s="3" t="s">
        <v>80</v>
      </c>
      <c r="U52" s="3" t="s">
        <v>81</v>
      </c>
      <c r="V52" s="3"/>
      <c r="W52" s="8">
        <v>1</v>
      </c>
    </row>
    <row r="53" spans="1:23" x14ac:dyDescent="0.25">
      <c r="A53" s="3" t="s">
        <v>18</v>
      </c>
      <c r="B53" s="3" t="s">
        <v>104</v>
      </c>
      <c r="C53" s="2" t="s">
        <v>105</v>
      </c>
      <c r="D53" s="3" t="s">
        <v>106</v>
      </c>
      <c r="E53" s="8">
        <v>1</v>
      </c>
      <c r="F53" s="23"/>
      <c r="G53" s="3" t="s">
        <v>18</v>
      </c>
      <c r="H53" s="2" t="s">
        <v>44</v>
      </c>
      <c r="I53" s="7" t="s">
        <v>336</v>
      </c>
      <c r="J53" s="3"/>
      <c r="K53" s="8">
        <v>1</v>
      </c>
      <c r="L53" s="23"/>
      <c r="S53" s="3" t="s">
        <v>18</v>
      </c>
      <c r="T53" s="3" t="s">
        <v>104</v>
      </c>
      <c r="U53" s="2" t="s">
        <v>105</v>
      </c>
      <c r="V53" s="3" t="s">
        <v>106</v>
      </c>
      <c r="W53" s="8">
        <v>1</v>
      </c>
    </row>
    <row r="54" spans="1:23" x14ac:dyDescent="0.25">
      <c r="A54" s="3" t="s">
        <v>18</v>
      </c>
      <c r="B54" s="3" t="s">
        <v>104</v>
      </c>
      <c r="C54" s="2" t="s">
        <v>105</v>
      </c>
      <c r="D54" s="3" t="s">
        <v>106</v>
      </c>
      <c r="E54" s="8">
        <v>1</v>
      </c>
      <c r="F54" s="23"/>
      <c r="G54" s="3" t="s">
        <v>18</v>
      </c>
      <c r="H54" s="2" t="s">
        <v>44</v>
      </c>
      <c r="I54" s="7" t="s">
        <v>336</v>
      </c>
      <c r="J54" s="3"/>
      <c r="K54" s="8">
        <v>1</v>
      </c>
      <c r="L54" s="23"/>
      <c r="S54" s="3" t="s">
        <v>18</v>
      </c>
      <c r="T54" s="3" t="s">
        <v>104</v>
      </c>
      <c r="U54" s="2" t="s">
        <v>105</v>
      </c>
      <c r="V54" s="3" t="s">
        <v>106</v>
      </c>
      <c r="W54" s="8">
        <v>1</v>
      </c>
    </row>
    <row r="55" spans="1:23" x14ac:dyDescent="0.25">
      <c r="A55" s="3" t="s">
        <v>18</v>
      </c>
      <c r="B55" s="3" t="s">
        <v>104</v>
      </c>
      <c r="C55" s="2" t="s">
        <v>105</v>
      </c>
      <c r="D55" s="3" t="s">
        <v>106</v>
      </c>
      <c r="E55" s="8">
        <v>1</v>
      </c>
      <c r="F55" s="23"/>
      <c r="G55" s="3" t="s">
        <v>18</v>
      </c>
      <c r="H55" s="2" t="s">
        <v>44</v>
      </c>
      <c r="I55" s="7" t="s">
        <v>336</v>
      </c>
      <c r="J55" s="3"/>
      <c r="K55" s="8">
        <v>1</v>
      </c>
      <c r="L55" s="23"/>
      <c r="S55" s="3" t="s">
        <v>18</v>
      </c>
      <c r="T55" s="3" t="s">
        <v>112</v>
      </c>
      <c r="U55" s="2" t="s">
        <v>113</v>
      </c>
      <c r="V55" s="3" t="s">
        <v>114</v>
      </c>
      <c r="W55" s="8">
        <v>1</v>
      </c>
    </row>
    <row r="56" spans="1:23" x14ac:dyDescent="0.25">
      <c r="A56" s="3" t="s">
        <v>18</v>
      </c>
      <c r="B56" s="3" t="s">
        <v>104</v>
      </c>
      <c r="C56" s="2" t="s">
        <v>105</v>
      </c>
      <c r="D56" s="3" t="s">
        <v>106</v>
      </c>
      <c r="E56" s="8">
        <v>1</v>
      </c>
      <c r="F56" s="23"/>
      <c r="G56" s="3" t="s">
        <v>18</v>
      </c>
      <c r="H56" s="2" t="s">
        <v>44</v>
      </c>
      <c r="I56" s="7" t="s">
        <v>336</v>
      </c>
      <c r="J56" s="3"/>
      <c r="K56" s="8">
        <v>1</v>
      </c>
      <c r="L56" s="23"/>
      <c r="S56" s="3" t="s">
        <v>18</v>
      </c>
      <c r="T56" s="3" t="s">
        <v>112</v>
      </c>
      <c r="U56" s="2" t="s">
        <v>113</v>
      </c>
      <c r="V56" s="3"/>
      <c r="W56" s="8">
        <v>1</v>
      </c>
    </row>
    <row r="57" spans="1:23" x14ac:dyDescent="0.25">
      <c r="A57" s="3" t="s">
        <v>18</v>
      </c>
      <c r="B57" s="3" t="s">
        <v>104</v>
      </c>
      <c r="C57" s="2" t="s">
        <v>105</v>
      </c>
      <c r="D57" s="3" t="s">
        <v>106</v>
      </c>
      <c r="E57" s="8">
        <v>1</v>
      </c>
      <c r="F57" s="23"/>
      <c r="G57" s="3" t="s">
        <v>18</v>
      </c>
      <c r="H57" s="3" t="s">
        <v>55</v>
      </c>
      <c r="I57" s="3" t="s">
        <v>56</v>
      </c>
      <c r="J57" s="2" t="s">
        <v>57</v>
      </c>
      <c r="K57" s="8">
        <v>1</v>
      </c>
      <c r="L57" s="23"/>
      <c r="S57" s="3" t="s">
        <v>18</v>
      </c>
      <c r="T57" s="3" t="s">
        <v>112</v>
      </c>
      <c r="U57" s="2" t="s">
        <v>113</v>
      </c>
      <c r="V57" s="3" t="s">
        <v>114</v>
      </c>
      <c r="W57" s="8">
        <v>1</v>
      </c>
    </row>
    <row r="58" spans="1:23" x14ac:dyDescent="0.25">
      <c r="A58" s="3" t="s">
        <v>18</v>
      </c>
      <c r="B58" s="3" t="s">
        <v>112</v>
      </c>
      <c r="C58" s="2" t="s">
        <v>113</v>
      </c>
      <c r="D58" s="3" t="s">
        <v>120</v>
      </c>
      <c r="E58" s="8">
        <v>1</v>
      </c>
      <c r="F58" s="23"/>
      <c r="G58" s="3" t="s">
        <v>18</v>
      </c>
      <c r="H58" s="3" t="s">
        <v>55</v>
      </c>
      <c r="I58" s="3" t="s">
        <v>56</v>
      </c>
      <c r="J58" s="7"/>
      <c r="K58" s="11">
        <v>1</v>
      </c>
      <c r="L58" s="23"/>
      <c r="S58" s="3" t="s">
        <v>18</v>
      </c>
      <c r="T58" s="3" t="s">
        <v>112</v>
      </c>
      <c r="U58" s="2" t="s">
        <v>113</v>
      </c>
      <c r="V58" s="3" t="s">
        <v>114</v>
      </c>
      <c r="W58" s="8">
        <v>1</v>
      </c>
    </row>
    <row r="59" spans="1:23" x14ac:dyDescent="0.25">
      <c r="A59" s="3" t="s">
        <v>18</v>
      </c>
      <c r="B59" s="3" t="s">
        <v>112</v>
      </c>
      <c r="C59" s="2" t="s">
        <v>113</v>
      </c>
      <c r="D59" s="3" t="s">
        <v>310</v>
      </c>
      <c r="E59" s="8">
        <v>1</v>
      </c>
      <c r="F59" s="23"/>
      <c r="G59" s="3" t="s">
        <v>18</v>
      </c>
      <c r="H59" s="3" t="s">
        <v>60</v>
      </c>
      <c r="I59" s="2" t="s">
        <v>61</v>
      </c>
      <c r="J59" s="3" t="s">
        <v>62</v>
      </c>
      <c r="K59" s="8">
        <v>1</v>
      </c>
      <c r="L59" s="23"/>
      <c r="S59" s="3" t="s">
        <v>18</v>
      </c>
      <c r="T59" s="3" t="s">
        <v>112</v>
      </c>
      <c r="U59" s="2" t="s">
        <v>113</v>
      </c>
      <c r="V59" s="3" t="s">
        <v>114</v>
      </c>
      <c r="W59" s="8">
        <v>1</v>
      </c>
    </row>
    <row r="60" spans="1:23" x14ac:dyDescent="0.25">
      <c r="A60" s="3" t="s">
        <v>18</v>
      </c>
      <c r="B60" s="3" t="s">
        <v>112</v>
      </c>
      <c r="C60" s="2" t="s">
        <v>113</v>
      </c>
      <c r="D60" s="3"/>
      <c r="E60" s="11">
        <v>1</v>
      </c>
      <c r="F60" s="23"/>
      <c r="G60" s="3" t="s">
        <v>18</v>
      </c>
      <c r="H60" s="3" t="s">
        <v>60</v>
      </c>
      <c r="I60" s="2" t="s">
        <v>61</v>
      </c>
      <c r="J60" s="3" t="s">
        <v>312</v>
      </c>
      <c r="K60" s="8">
        <v>1</v>
      </c>
      <c r="L60" s="23"/>
      <c r="S60" s="3" t="s">
        <v>18</v>
      </c>
      <c r="T60" s="3" t="s">
        <v>112</v>
      </c>
      <c r="U60" s="2" t="s">
        <v>113</v>
      </c>
      <c r="V60" s="3" t="s">
        <v>114</v>
      </c>
      <c r="W60" s="11">
        <v>1</v>
      </c>
    </row>
    <row r="61" spans="1:23" x14ac:dyDescent="0.25">
      <c r="A61" s="3" t="s">
        <v>18</v>
      </c>
      <c r="B61" s="3" t="s">
        <v>112</v>
      </c>
      <c r="C61" s="2" t="s">
        <v>127</v>
      </c>
      <c r="D61" s="3"/>
      <c r="E61" s="8">
        <v>4</v>
      </c>
      <c r="F61" s="23"/>
      <c r="G61" s="3" t="s">
        <v>18</v>
      </c>
      <c r="H61" s="3" t="s">
        <v>80</v>
      </c>
      <c r="I61" s="3" t="s">
        <v>81</v>
      </c>
      <c r="J61" s="3"/>
      <c r="K61" s="8">
        <v>1</v>
      </c>
      <c r="L61" s="23"/>
      <c r="S61" s="3" t="s">
        <v>18</v>
      </c>
      <c r="T61" s="3" t="s">
        <v>112</v>
      </c>
      <c r="U61" s="2" t="s">
        <v>113</v>
      </c>
      <c r="V61" s="3"/>
      <c r="W61" s="11">
        <v>1</v>
      </c>
    </row>
    <row r="62" spans="1:23" x14ac:dyDescent="0.25">
      <c r="A62" s="3" t="s">
        <v>18</v>
      </c>
      <c r="B62" s="3" t="s">
        <v>126</v>
      </c>
      <c r="C62" s="2" t="s">
        <v>127</v>
      </c>
      <c r="D62" s="3" t="s">
        <v>130</v>
      </c>
      <c r="E62" s="8">
        <v>1</v>
      </c>
      <c r="F62" s="23"/>
      <c r="G62" s="3" t="s">
        <v>18</v>
      </c>
      <c r="H62" s="3" t="s">
        <v>80</v>
      </c>
      <c r="I62" s="3" t="s">
        <v>81</v>
      </c>
      <c r="J62" s="3"/>
      <c r="K62" s="8">
        <v>2</v>
      </c>
      <c r="L62" s="23"/>
      <c r="S62" s="3" t="s">
        <v>18</v>
      </c>
      <c r="T62" s="3" t="s">
        <v>112</v>
      </c>
      <c r="U62" s="2" t="s">
        <v>113</v>
      </c>
      <c r="V62" s="3"/>
      <c r="W62" s="11">
        <v>1</v>
      </c>
    </row>
    <row r="63" spans="1:23" x14ac:dyDescent="0.25">
      <c r="A63" s="3" t="s">
        <v>18</v>
      </c>
      <c r="B63" s="3" t="s">
        <v>126</v>
      </c>
      <c r="C63" s="2" t="s">
        <v>127</v>
      </c>
      <c r="D63" s="3" t="s">
        <v>130</v>
      </c>
      <c r="E63" s="8">
        <v>1</v>
      </c>
      <c r="F63" s="23"/>
      <c r="G63" s="3" t="s">
        <v>18</v>
      </c>
      <c r="H63" s="3" t="s">
        <v>80</v>
      </c>
      <c r="I63" s="3" t="s">
        <v>81</v>
      </c>
      <c r="J63" s="3"/>
      <c r="K63" s="8">
        <v>1</v>
      </c>
      <c r="L63" s="23"/>
      <c r="S63" s="3" t="s">
        <v>18</v>
      </c>
      <c r="T63" s="3" t="s">
        <v>126</v>
      </c>
      <c r="U63" s="2" t="s">
        <v>139</v>
      </c>
      <c r="V63" s="3" t="s">
        <v>140</v>
      </c>
      <c r="W63" s="8">
        <v>1</v>
      </c>
    </row>
    <row r="64" spans="1:23" x14ac:dyDescent="0.25">
      <c r="A64" s="3" t="s">
        <v>18</v>
      </c>
      <c r="B64" s="3" t="s">
        <v>126</v>
      </c>
      <c r="C64" s="2" t="s">
        <v>127</v>
      </c>
      <c r="D64" s="3" t="s">
        <v>355</v>
      </c>
      <c r="E64" s="8">
        <v>2</v>
      </c>
      <c r="F64" s="23"/>
      <c r="G64" s="3" t="s">
        <v>18</v>
      </c>
      <c r="H64" s="3" t="s">
        <v>80</v>
      </c>
      <c r="I64" s="3" t="s">
        <v>81</v>
      </c>
      <c r="J64" s="3"/>
      <c r="K64" s="8">
        <v>1</v>
      </c>
      <c r="L64" s="23"/>
      <c r="S64" s="3" t="s">
        <v>18</v>
      </c>
      <c r="T64" s="3" t="s">
        <v>126</v>
      </c>
      <c r="U64" s="2" t="s">
        <v>139</v>
      </c>
      <c r="V64" s="3" t="s">
        <v>140</v>
      </c>
      <c r="W64" s="8">
        <v>2</v>
      </c>
    </row>
    <row r="65" spans="1:23" x14ac:dyDescent="0.25">
      <c r="A65" s="3" t="s">
        <v>18</v>
      </c>
      <c r="B65" s="3" t="s">
        <v>126</v>
      </c>
      <c r="C65" s="2" t="s">
        <v>127</v>
      </c>
      <c r="D65" s="3"/>
      <c r="E65" s="8">
        <v>1</v>
      </c>
      <c r="F65" s="23"/>
      <c r="G65" s="3" t="s">
        <v>18</v>
      </c>
      <c r="H65" s="3" t="s">
        <v>80</v>
      </c>
      <c r="I65" s="3" t="s">
        <v>81</v>
      </c>
      <c r="J65" s="3"/>
      <c r="K65" s="8">
        <v>1</v>
      </c>
      <c r="L65" s="23"/>
      <c r="S65" s="3" t="s">
        <v>18</v>
      </c>
      <c r="T65" s="3" t="s">
        <v>126</v>
      </c>
      <c r="U65" s="2" t="s">
        <v>139</v>
      </c>
      <c r="V65" s="3" t="s">
        <v>140</v>
      </c>
      <c r="W65" s="8">
        <v>1</v>
      </c>
    </row>
    <row r="66" spans="1:23" x14ac:dyDescent="0.25">
      <c r="A66" s="3" t="s">
        <v>18</v>
      </c>
      <c r="B66" s="3" t="s">
        <v>126</v>
      </c>
      <c r="C66" s="2" t="s">
        <v>127</v>
      </c>
      <c r="D66" s="7" t="s">
        <v>356</v>
      </c>
      <c r="E66" s="11">
        <v>3</v>
      </c>
      <c r="F66" s="23"/>
      <c r="G66" s="3" t="s">
        <v>18</v>
      </c>
      <c r="H66" s="3" t="s">
        <v>80</v>
      </c>
      <c r="I66" s="3" t="s">
        <v>81</v>
      </c>
      <c r="J66" s="3"/>
      <c r="K66" s="8">
        <v>1</v>
      </c>
      <c r="L66" s="23"/>
      <c r="S66" s="3" t="s">
        <v>18</v>
      </c>
      <c r="T66" s="3" t="s">
        <v>126</v>
      </c>
      <c r="U66" s="2" t="s">
        <v>139</v>
      </c>
      <c r="V66" s="3" t="s">
        <v>147</v>
      </c>
      <c r="W66" s="8">
        <v>1</v>
      </c>
    </row>
    <row r="67" spans="1:23" x14ac:dyDescent="0.25">
      <c r="A67" s="3" t="s">
        <v>18</v>
      </c>
      <c r="B67" s="23" t="s">
        <v>126</v>
      </c>
      <c r="C67" s="2" t="s">
        <v>127</v>
      </c>
      <c r="D67" s="3" t="s">
        <v>313</v>
      </c>
      <c r="E67" s="8">
        <v>2</v>
      </c>
      <c r="F67" s="23"/>
      <c r="G67" s="3" t="s">
        <v>18</v>
      </c>
      <c r="H67" s="3" t="s">
        <v>80</v>
      </c>
      <c r="I67" s="3" t="s">
        <v>81</v>
      </c>
      <c r="J67" s="3"/>
      <c r="K67" s="8">
        <v>1</v>
      </c>
      <c r="L67" s="23"/>
      <c r="S67" s="3" t="s">
        <v>18</v>
      </c>
      <c r="T67" s="3" t="s">
        <v>126</v>
      </c>
      <c r="U67" s="2" t="s">
        <v>139</v>
      </c>
      <c r="V67" s="3" t="s">
        <v>150</v>
      </c>
      <c r="W67" s="8">
        <v>1</v>
      </c>
    </row>
    <row r="68" spans="1:23" x14ac:dyDescent="0.25">
      <c r="A68" s="3" t="s">
        <v>18</v>
      </c>
      <c r="B68" s="3" t="s">
        <v>126</v>
      </c>
      <c r="C68" s="2" t="s">
        <v>127</v>
      </c>
      <c r="D68" s="7"/>
      <c r="E68" s="8">
        <v>1</v>
      </c>
      <c r="F68" s="23"/>
      <c r="G68" s="3" t="s">
        <v>18</v>
      </c>
      <c r="H68" s="3" t="s">
        <v>80</v>
      </c>
      <c r="I68" s="3" t="s">
        <v>81</v>
      </c>
      <c r="J68" s="3"/>
      <c r="K68" s="8">
        <v>1</v>
      </c>
      <c r="L68" s="23"/>
      <c r="S68" s="3" t="s">
        <v>18</v>
      </c>
      <c r="T68" s="3" t="s">
        <v>126</v>
      </c>
      <c r="U68" s="2" t="s">
        <v>139</v>
      </c>
      <c r="V68" s="3"/>
      <c r="W68" s="8">
        <v>1</v>
      </c>
    </row>
    <row r="69" spans="1:23" x14ac:dyDescent="0.25">
      <c r="A69" s="3" t="s">
        <v>18</v>
      </c>
      <c r="B69" s="3" t="s">
        <v>126</v>
      </c>
      <c r="C69" s="3" t="s">
        <v>127</v>
      </c>
      <c r="D69" s="7"/>
      <c r="E69" s="8">
        <v>1</v>
      </c>
      <c r="F69" s="23"/>
      <c r="G69" s="3" t="s">
        <v>18</v>
      </c>
      <c r="H69" s="3" t="s">
        <v>80</v>
      </c>
      <c r="I69" s="3" t="s">
        <v>81</v>
      </c>
      <c r="J69" s="3"/>
      <c r="K69" s="8">
        <v>3</v>
      </c>
      <c r="L69" s="23"/>
      <c r="S69" s="3" t="s">
        <v>18</v>
      </c>
      <c r="T69" s="3" t="s">
        <v>126</v>
      </c>
      <c r="U69" s="2" t="s">
        <v>139</v>
      </c>
      <c r="V69" s="3"/>
      <c r="W69" s="8">
        <v>1</v>
      </c>
    </row>
    <row r="70" spans="1:23" x14ac:dyDescent="0.25">
      <c r="A70" s="3" t="s">
        <v>18</v>
      </c>
      <c r="B70" s="3" t="s">
        <v>126</v>
      </c>
      <c r="C70" s="2" t="s">
        <v>127</v>
      </c>
      <c r="D70" s="3"/>
      <c r="E70" s="8">
        <v>1</v>
      </c>
      <c r="F70" s="23"/>
      <c r="G70" s="3" t="s">
        <v>18</v>
      </c>
      <c r="H70" s="3" t="s">
        <v>80</v>
      </c>
      <c r="I70" s="3" t="s">
        <v>81</v>
      </c>
      <c r="J70" s="7"/>
      <c r="K70" s="8">
        <v>1</v>
      </c>
      <c r="L70" s="23"/>
      <c r="S70" s="3" t="s">
        <v>18</v>
      </c>
      <c r="T70" s="3" t="s">
        <v>153</v>
      </c>
      <c r="U70" s="2" t="s">
        <v>154</v>
      </c>
      <c r="V70" s="3" t="s">
        <v>155</v>
      </c>
      <c r="W70" s="8">
        <v>2</v>
      </c>
    </row>
    <row r="71" spans="1:23" x14ac:dyDescent="0.25">
      <c r="A71" s="3" t="s">
        <v>18</v>
      </c>
      <c r="B71" s="3" t="s">
        <v>126</v>
      </c>
      <c r="C71" s="2" t="s">
        <v>139</v>
      </c>
      <c r="D71" s="3" t="s">
        <v>337</v>
      </c>
      <c r="E71" s="8">
        <v>4</v>
      </c>
      <c r="F71" s="23"/>
      <c r="G71" s="3" t="s">
        <v>18</v>
      </c>
      <c r="H71" s="3" t="s">
        <v>104</v>
      </c>
      <c r="I71" s="2" t="s">
        <v>105</v>
      </c>
      <c r="J71" s="3" t="s">
        <v>106</v>
      </c>
      <c r="K71" s="8">
        <v>1</v>
      </c>
      <c r="L71" s="23"/>
      <c r="S71" s="3" t="s">
        <v>18</v>
      </c>
      <c r="T71" s="3" t="s">
        <v>153</v>
      </c>
      <c r="U71" s="2" t="s">
        <v>154</v>
      </c>
      <c r="V71" s="3" t="s">
        <v>159</v>
      </c>
      <c r="W71" s="8">
        <v>1</v>
      </c>
    </row>
    <row r="72" spans="1:23" x14ac:dyDescent="0.25">
      <c r="A72" s="3" t="s">
        <v>18</v>
      </c>
      <c r="B72" s="3" t="s">
        <v>126</v>
      </c>
      <c r="C72" s="2" t="s">
        <v>139</v>
      </c>
      <c r="D72" s="3" t="s">
        <v>140</v>
      </c>
      <c r="E72" s="8">
        <v>1</v>
      </c>
      <c r="F72" s="23"/>
      <c r="G72" s="3" t="s">
        <v>18</v>
      </c>
      <c r="H72" s="3" t="s">
        <v>112</v>
      </c>
      <c r="I72" s="2" t="s">
        <v>113</v>
      </c>
      <c r="J72" s="3" t="s">
        <v>114</v>
      </c>
      <c r="K72" s="8">
        <v>1</v>
      </c>
      <c r="L72" s="23"/>
      <c r="S72" s="3" t="s">
        <v>18</v>
      </c>
      <c r="T72" s="3" t="s">
        <v>153</v>
      </c>
      <c r="U72" s="2" t="s">
        <v>154</v>
      </c>
      <c r="V72" s="3" t="s">
        <v>161</v>
      </c>
      <c r="W72" s="8">
        <v>2</v>
      </c>
    </row>
    <row r="73" spans="1:23" ht="15.75" x14ac:dyDescent="0.25">
      <c r="A73" s="3" t="s">
        <v>18</v>
      </c>
      <c r="B73" s="3" t="s">
        <v>126</v>
      </c>
      <c r="C73" s="2" t="s">
        <v>139</v>
      </c>
      <c r="D73" s="3" t="s">
        <v>140</v>
      </c>
      <c r="E73" s="8">
        <v>1</v>
      </c>
      <c r="F73" s="23"/>
      <c r="G73" s="3" t="s">
        <v>18</v>
      </c>
      <c r="H73" s="3" t="s">
        <v>112</v>
      </c>
      <c r="I73" s="2" t="s">
        <v>113</v>
      </c>
      <c r="J73" s="3" t="s">
        <v>114</v>
      </c>
      <c r="K73" s="8">
        <v>1</v>
      </c>
      <c r="L73" s="23"/>
      <c r="S73" s="3" t="s">
        <v>162</v>
      </c>
      <c r="T73" s="3" t="s">
        <v>163</v>
      </c>
      <c r="U73" s="3" t="s">
        <v>164</v>
      </c>
      <c r="V73" s="187"/>
      <c r="W73" s="8">
        <v>1</v>
      </c>
    </row>
    <row r="74" spans="1:23" ht="15.75" x14ac:dyDescent="0.25">
      <c r="A74" s="3" t="s">
        <v>18</v>
      </c>
      <c r="B74" s="3" t="s">
        <v>126</v>
      </c>
      <c r="C74" s="2" t="s">
        <v>139</v>
      </c>
      <c r="D74" s="3" t="s">
        <v>140</v>
      </c>
      <c r="E74" s="8">
        <v>1</v>
      </c>
      <c r="F74" s="23"/>
      <c r="G74" s="3" t="s">
        <v>18</v>
      </c>
      <c r="H74" s="3" t="s">
        <v>112</v>
      </c>
      <c r="I74" s="2" t="s">
        <v>113</v>
      </c>
      <c r="J74" s="3" t="s">
        <v>114</v>
      </c>
      <c r="K74" s="8">
        <v>1</v>
      </c>
      <c r="L74" s="23"/>
      <c r="S74" s="3" t="s">
        <v>162</v>
      </c>
      <c r="T74" s="3" t="s">
        <v>163</v>
      </c>
      <c r="U74" s="2" t="s">
        <v>168</v>
      </c>
      <c r="V74" s="187"/>
      <c r="W74" s="8">
        <v>2</v>
      </c>
    </row>
    <row r="75" spans="1:23" ht="15.75" x14ac:dyDescent="0.25">
      <c r="A75" s="3" t="s">
        <v>18</v>
      </c>
      <c r="B75" s="3" t="s">
        <v>126</v>
      </c>
      <c r="C75" s="2" t="s">
        <v>139</v>
      </c>
      <c r="D75" s="3" t="s">
        <v>140</v>
      </c>
      <c r="E75" s="8">
        <v>1</v>
      </c>
      <c r="F75" s="23"/>
      <c r="G75" s="3" t="s">
        <v>18</v>
      </c>
      <c r="H75" s="3" t="s">
        <v>112</v>
      </c>
      <c r="I75" s="2" t="s">
        <v>113</v>
      </c>
      <c r="J75" s="3" t="s">
        <v>114</v>
      </c>
      <c r="K75" s="8">
        <v>2</v>
      </c>
      <c r="L75" s="23"/>
      <c r="S75" s="3" t="s">
        <v>162</v>
      </c>
      <c r="T75" s="3" t="s">
        <v>163</v>
      </c>
      <c r="U75" s="2" t="s">
        <v>168</v>
      </c>
      <c r="V75" s="187"/>
      <c r="W75" s="11">
        <v>2</v>
      </c>
    </row>
    <row r="76" spans="1:23" x14ac:dyDescent="0.25">
      <c r="A76" s="3" t="s">
        <v>18</v>
      </c>
      <c r="B76" s="3" t="s">
        <v>126</v>
      </c>
      <c r="C76" s="2" t="s">
        <v>139</v>
      </c>
      <c r="D76" s="3" t="s">
        <v>140</v>
      </c>
      <c r="E76" s="8">
        <v>1</v>
      </c>
      <c r="F76" s="23"/>
      <c r="G76" s="3" t="s">
        <v>18</v>
      </c>
      <c r="H76" s="3" t="s">
        <v>112</v>
      </c>
      <c r="I76" s="2" t="s">
        <v>113</v>
      </c>
      <c r="J76" s="3" t="s">
        <v>114</v>
      </c>
      <c r="K76" s="8">
        <v>1</v>
      </c>
      <c r="L76" s="23"/>
      <c r="W76">
        <f>SUM(W3:W75)</f>
        <v>122</v>
      </c>
    </row>
    <row r="77" spans="1:23" x14ac:dyDescent="0.25">
      <c r="A77" s="3" t="s">
        <v>18</v>
      </c>
      <c r="B77" s="3" t="s">
        <v>126</v>
      </c>
      <c r="C77" s="2" t="s">
        <v>139</v>
      </c>
      <c r="D77" s="3" t="s">
        <v>140</v>
      </c>
      <c r="E77" s="8">
        <v>1</v>
      </c>
      <c r="F77" s="23"/>
      <c r="G77" s="3" t="s">
        <v>18</v>
      </c>
      <c r="H77" s="3" t="s">
        <v>112</v>
      </c>
      <c r="I77" s="2" t="s">
        <v>113</v>
      </c>
      <c r="J77" s="3" t="s">
        <v>122</v>
      </c>
      <c r="K77" s="8">
        <v>1</v>
      </c>
      <c r="L77" s="23"/>
    </row>
    <row r="78" spans="1:23" x14ac:dyDescent="0.25">
      <c r="A78" s="3" t="s">
        <v>18</v>
      </c>
      <c r="B78" s="3" t="s">
        <v>126</v>
      </c>
      <c r="C78" s="2" t="s">
        <v>139</v>
      </c>
      <c r="D78" s="3" t="s">
        <v>140</v>
      </c>
      <c r="E78" s="8">
        <v>1</v>
      </c>
      <c r="F78" s="23"/>
      <c r="G78" s="3" t="s">
        <v>18</v>
      </c>
      <c r="H78" s="3" t="s">
        <v>112</v>
      </c>
      <c r="I78" s="2" t="s">
        <v>113</v>
      </c>
      <c r="J78" s="3"/>
      <c r="K78" s="8">
        <v>1</v>
      </c>
      <c r="L78" s="23"/>
      <c r="T78" s="23" t="s">
        <v>437</v>
      </c>
    </row>
    <row r="79" spans="1:23" ht="15" customHeight="1" x14ac:dyDescent="0.25">
      <c r="A79" s="3" t="s">
        <v>18</v>
      </c>
      <c r="B79" s="3" t="s">
        <v>126</v>
      </c>
      <c r="C79" s="2" t="s">
        <v>139</v>
      </c>
      <c r="D79" s="3" t="s">
        <v>147</v>
      </c>
      <c r="E79" s="8">
        <v>1</v>
      </c>
      <c r="F79" s="23"/>
      <c r="G79" s="3" t="s">
        <v>18</v>
      </c>
      <c r="H79" s="3" t="s">
        <v>112</v>
      </c>
      <c r="I79" s="2" t="s">
        <v>113</v>
      </c>
      <c r="J79" s="3"/>
      <c r="K79" s="11">
        <v>1</v>
      </c>
      <c r="L79" s="23"/>
    </row>
    <row r="80" spans="1:23" ht="15.75" customHeight="1" x14ac:dyDescent="0.25">
      <c r="A80" s="3" t="s">
        <v>18</v>
      </c>
      <c r="B80" s="3" t="s">
        <v>126</v>
      </c>
      <c r="C80" s="2" t="s">
        <v>139</v>
      </c>
      <c r="D80" s="3" t="s">
        <v>147</v>
      </c>
      <c r="E80" s="8">
        <v>1</v>
      </c>
      <c r="F80" s="23"/>
      <c r="G80" s="3" t="s">
        <v>18</v>
      </c>
      <c r="H80" s="3" t="s">
        <v>112</v>
      </c>
      <c r="I80" s="2" t="s">
        <v>113</v>
      </c>
      <c r="J80" s="3"/>
      <c r="K80" s="11">
        <v>1</v>
      </c>
      <c r="L80" s="23"/>
    </row>
    <row r="81" spans="1:12" ht="15" customHeight="1" x14ac:dyDescent="0.25">
      <c r="A81" s="3" t="s">
        <v>18</v>
      </c>
      <c r="B81" s="3" t="s">
        <v>126</v>
      </c>
      <c r="C81" s="2" t="s">
        <v>139</v>
      </c>
      <c r="D81" s="3"/>
      <c r="E81" s="8">
        <v>3</v>
      </c>
      <c r="F81" s="3"/>
      <c r="G81" s="3" t="s">
        <v>18</v>
      </c>
      <c r="H81" s="3" t="s">
        <v>112</v>
      </c>
      <c r="I81" s="2" t="s">
        <v>127</v>
      </c>
      <c r="J81" s="7"/>
      <c r="K81" s="11">
        <v>1</v>
      </c>
      <c r="L81" s="23"/>
    </row>
    <row r="82" spans="1:12" x14ac:dyDescent="0.25">
      <c r="A82" s="3" t="s">
        <v>18</v>
      </c>
      <c r="B82" s="3" t="s">
        <v>126</v>
      </c>
      <c r="C82" s="2" t="s">
        <v>139</v>
      </c>
      <c r="D82" s="3" t="s">
        <v>140</v>
      </c>
      <c r="E82" s="8">
        <v>1</v>
      </c>
      <c r="F82" s="23"/>
      <c r="G82" s="3" t="s">
        <v>18</v>
      </c>
      <c r="H82" s="3" t="s">
        <v>126</v>
      </c>
      <c r="I82" s="2" t="s">
        <v>127</v>
      </c>
      <c r="J82" s="7"/>
      <c r="K82" s="8">
        <v>1</v>
      </c>
      <c r="L82" s="23"/>
    </row>
    <row r="83" spans="1:12" ht="15" customHeight="1" x14ac:dyDescent="0.25">
      <c r="A83" s="3" t="s">
        <v>18</v>
      </c>
      <c r="B83" s="3" t="s">
        <v>126</v>
      </c>
      <c r="C83" s="2" t="s">
        <v>139</v>
      </c>
      <c r="D83" s="3"/>
      <c r="E83" s="8">
        <v>4</v>
      </c>
      <c r="F83" s="23"/>
      <c r="G83" s="3" t="s">
        <v>18</v>
      </c>
      <c r="H83" s="3" t="s">
        <v>126</v>
      </c>
      <c r="I83" s="2" t="s">
        <v>127</v>
      </c>
      <c r="J83" s="7"/>
      <c r="K83" s="8">
        <v>1</v>
      </c>
      <c r="L83" s="23"/>
    </row>
    <row r="84" spans="1:12" ht="15" customHeight="1" x14ac:dyDescent="0.25">
      <c r="A84" s="3" t="s">
        <v>18</v>
      </c>
      <c r="B84" s="3" t="s">
        <v>126</v>
      </c>
      <c r="C84" s="2" t="s">
        <v>139</v>
      </c>
      <c r="D84" s="3"/>
      <c r="E84" s="8">
        <v>3</v>
      </c>
      <c r="F84" s="23"/>
      <c r="G84" s="3" t="s">
        <v>18</v>
      </c>
      <c r="H84" s="3" t="s">
        <v>126</v>
      </c>
      <c r="I84" s="2" t="s">
        <v>127</v>
      </c>
      <c r="J84" s="3" t="s">
        <v>313</v>
      </c>
      <c r="K84" s="8">
        <v>1</v>
      </c>
      <c r="L84" s="23"/>
    </row>
    <row r="85" spans="1:12" x14ac:dyDescent="0.25">
      <c r="A85" s="3" t="s">
        <v>18</v>
      </c>
      <c r="B85" s="3" t="s">
        <v>126</v>
      </c>
      <c r="C85" s="2" t="s">
        <v>139</v>
      </c>
      <c r="D85" s="3" t="s">
        <v>338</v>
      </c>
      <c r="E85" s="8">
        <v>1</v>
      </c>
      <c r="F85" s="23"/>
      <c r="G85" s="3" t="s">
        <v>18</v>
      </c>
      <c r="H85" s="3" t="s">
        <v>126</v>
      </c>
      <c r="I85" s="3" t="s">
        <v>136</v>
      </c>
      <c r="J85" s="7" t="s">
        <v>315</v>
      </c>
      <c r="K85" s="8">
        <v>1</v>
      </c>
      <c r="L85" s="23"/>
    </row>
    <row r="86" spans="1:12" x14ac:dyDescent="0.25">
      <c r="A86" s="3" t="s">
        <v>18</v>
      </c>
      <c r="B86" s="3" t="s">
        <v>153</v>
      </c>
      <c r="C86" s="2" t="s">
        <v>154</v>
      </c>
      <c r="D86" s="3" t="s">
        <v>155</v>
      </c>
      <c r="E86" s="8">
        <v>1</v>
      </c>
      <c r="F86" s="23"/>
      <c r="G86" s="3" t="s">
        <v>18</v>
      </c>
      <c r="H86" s="3" t="s">
        <v>126</v>
      </c>
      <c r="I86" s="3" t="s">
        <v>136</v>
      </c>
      <c r="J86" s="7" t="s">
        <v>315</v>
      </c>
      <c r="K86" s="8">
        <v>1</v>
      </c>
      <c r="L86" s="23"/>
    </row>
    <row r="87" spans="1:12" x14ac:dyDescent="0.25">
      <c r="A87" s="3" t="s">
        <v>162</v>
      </c>
      <c r="B87" s="3" t="s">
        <v>163</v>
      </c>
      <c r="C87" s="3" t="s">
        <v>164</v>
      </c>
      <c r="D87" s="3"/>
      <c r="E87" s="8">
        <v>1</v>
      </c>
      <c r="F87" s="23"/>
      <c r="G87" s="3" t="s">
        <v>18</v>
      </c>
      <c r="H87" s="3" t="s">
        <v>126</v>
      </c>
      <c r="I87" s="3" t="s">
        <v>136</v>
      </c>
      <c r="J87" s="3" t="s">
        <v>314</v>
      </c>
      <c r="K87" s="8">
        <v>2</v>
      </c>
      <c r="L87" s="23"/>
    </row>
    <row r="88" spans="1:12" x14ac:dyDescent="0.25">
      <c r="A88" s="3" t="s">
        <v>162</v>
      </c>
      <c r="B88" s="3" t="s">
        <v>163</v>
      </c>
      <c r="C88" s="3" t="s">
        <v>164</v>
      </c>
      <c r="D88" s="3"/>
      <c r="E88" s="8">
        <v>1</v>
      </c>
      <c r="F88" s="23"/>
      <c r="G88" s="3" t="s">
        <v>18</v>
      </c>
      <c r="H88" s="3" t="s">
        <v>126</v>
      </c>
      <c r="I88" s="3" t="s">
        <v>136</v>
      </c>
      <c r="J88" s="3" t="s">
        <v>314</v>
      </c>
      <c r="K88" s="8">
        <v>1</v>
      </c>
      <c r="L88" s="23"/>
    </row>
    <row r="89" spans="1:12" x14ac:dyDescent="0.25">
      <c r="A89" s="3" t="s">
        <v>162</v>
      </c>
      <c r="B89" s="3" t="s">
        <v>163</v>
      </c>
      <c r="C89" s="3" t="s">
        <v>164</v>
      </c>
      <c r="D89" s="3"/>
      <c r="E89" s="8">
        <v>1</v>
      </c>
      <c r="F89" s="23"/>
      <c r="G89" s="3" t="s">
        <v>18</v>
      </c>
      <c r="H89" s="3" t="s">
        <v>126</v>
      </c>
      <c r="I89" s="3" t="s">
        <v>136</v>
      </c>
      <c r="J89" s="3" t="s">
        <v>314</v>
      </c>
      <c r="K89" s="8">
        <v>1</v>
      </c>
      <c r="L89" s="23"/>
    </row>
    <row r="90" spans="1:12" x14ac:dyDescent="0.25">
      <c r="A90" s="3" t="s">
        <v>162</v>
      </c>
      <c r="B90" s="3" t="s">
        <v>170</v>
      </c>
      <c r="C90" s="2" t="s">
        <v>171</v>
      </c>
      <c r="D90" s="3"/>
      <c r="E90" s="8">
        <v>1</v>
      </c>
      <c r="F90" s="23"/>
      <c r="G90" s="3" t="s">
        <v>18</v>
      </c>
      <c r="H90" s="3" t="s">
        <v>126</v>
      </c>
      <c r="I90" s="2" t="s">
        <v>139</v>
      </c>
      <c r="J90" s="3" t="s">
        <v>140</v>
      </c>
      <c r="K90" s="8">
        <v>1</v>
      </c>
      <c r="L90" s="23"/>
    </row>
    <row r="91" spans="1:12" x14ac:dyDescent="0.25">
      <c r="A91" s="3" t="s">
        <v>162</v>
      </c>
      <c r="B91" s="3" t="s">
        <v>170</v>
      </c>
      <c r="C91" s="2" t="s">
        <v>171</v>
      </c>
      <c r="D91" s="3"/>
      <c r="E91" s="8">
        <v>1</v>
      </c>
      <c r="F91" s="23"/>
      <c r="G91" s="3" t="s">
        <v>18</v>
      </c>
      <c r="H91" s="3" t="s">
        <v>126</v>
      </c>
      <c r="I91" s="2" t="s">
        <v>139</v>
      </c>
      <c r="J91" s="3" t="s">
        <v>140</v>
      </c>
      <c r="K91" s="8">
        <v>1</v>
      </c>
      <c r="L91" s="23"/>
    </row>
    <row r="92" spans="1:12" x14ac:dyDescent="0.25">
      <c r="A92" s="3" t="s">
        <v>162</v>
      </c>
      <c r="B92" s="3" t="s">
        <v>170</v>
      </c>
      <c r="C92" s="2" t="s">
        <v>171</v>
      </c>
      <c r="D92" s="3"/>
      <c r="E92" s="11">
        <v>1</v>
      </c>
      <c r="F92" s="23"/>
      <c r="G92" s="3" t="s">
        <v>18</v>
      </c>
      <c r="H92" s="3" t="s">
        <v>126</v>
      </c>
      <c r="I92" s="2" t="s">
        <v>139</v>
      </c>
      <c r="J92" s="3" t="s">
        <v>337</v>
      </c>
      <c r="K92" s="8">
        <v>1</v>
      </c>
      <c r="L92" s="23"/>
    </row>
    <row r="93" spans="1:12" x14ac:dyDescent="0.25">
      <c r="E93">
        <f>SUM(E3:E92)</f>
        <v>143</v>
      </c>
      <c r="F93" s="23"/>
      <c r="G93" s="3" t="s">
        <v>18</v>
      </c>
      <c r="H93" s="3" t="s">
        <v>153</v>
      </c>
      <c r="I93" s="2" t="s">
        <v>154</v>
      </c>
      <c r="J93" s="3" t="s">
        <v>161</v>
      </c>
      <c r="K93" s="8">
        <v>1</v>
      </c>
      <c r="L93" s="23"/>
    </row>
    <row r="94" spans="1:12" x14ac:dyDescent="0.25">
      <c r="F94" s="23"/>
      <c r="G94" s="3" t="s">
        <v>162</v>
      </c>
      <c r="H94" s="7" t="s">
        <v>271</v>
      </c>
      <c r="I94" s="7"/>
      <c r="J94" s="7"/>
      <c r="K94" s="11">
        <v>1</v>
      </c>
      <c r="L94" s="23"/>
    </row>
    <row r="95" spans="1:12" x14ac:dyDescent="0.25">
      <c r="F95" s="23"/>
      <c r="G95" s="3" t="s">
        <v>162</v>
      </c>
      <c r="H95" s="7" t="s">
        <v>271</v>
      </c>
      <c r="I95" s="7"/>
      <c r="J95" s="7"/>
      <c r="K95" s="11">
        <v>1</v>
      </c>
      <c r="L95" s="23"/>
    </row>
    <row r="96" spans="1:12" x14ac:dyDescent="0.25">
      <c r="F96" s="23"/>
      <c r="G96" s="3" t="s">
        <v>162</v>
      </c>
      <c r="H96" s="3" t="s">
        <v>163</v>
      </c>
      <c r="I96" s="3" t="s">
        <v>164</v>
      </c>
      <c r="J96" s="7"/>
      <c r="K96" s="8">
        <v>1</v>
      </c>
      <c r="L96" s="23"/>
    </row>
    <row r="97" spans="1:12" x14ac:dyDescent="0.25">
      <c r="F97" s="23"/>
      <c r="G97" s="3" t="s">
        <v>162</v>
      </c>
      <c r="H97" s="3" t="s">
        <v>163</v>
      </c>
      <c r="I97" s="2" t="s">
        <v>168</v>
      </c>
      <c r="J97" s="7"/>
      <c r="K97" s="11">
        <v>1</v>
      </c>
      <c r="L97" s="23"/>
    </row>
    <row r="98" spans="1:12" x14ac:dyDescent="0.25">
      <c r="F98" s="23"/>
      <c r="G98" s="3" t="s">
        <v>162</v>
      </c>
      <c r="H98" s="3" t="s">
        <v>163</v>
      </c>
      <c r="I98" s="2" t="s">
        <v>168</v>
      </c>
      <c r="J98" s="7"/>
      <c r="K98" s="8">
        <v>1</v>
      </c>
      <c r="L98" s="23"/>
    </row>
    <row r="99" spans="1:12" x14ac:dyDescent="0.25">
      <c r="A99" t="s">
        <v>316</v>
      </c>
      <c r="F99" s="23"/>
      <c r="G99" s="3" t="s">
        <v>162</v>
      </c>
      <c r="H99" s="3" t="s">
        <v>170</v>
      </c>
      <c r="I99" s="2" t="s">
        <v>171</v>
      </c>
      <c r="J99" s="7"/>
      <c r="K99" s="8">
        <v>1</v>
      </c>
      <c r="L99" s="23"/>
    </row>
    <row r="100" spans="1:12" x14ac:dyDescent="0.25">
      <c r="F100" s="23"/>
      <c r="K100">
        <f>SUM(K3:K99)</f>
        <v>129</v>
      </c>
      <c r="L100" s="23"/>
    </row>
    <row r="101" spans="1:12" x14ac:dyDescent="0.25">
      <c r="F101" s="23"/>
      <c r="G101" s="23"/>
      <c r="H101" s="23"/>
      <c r="I101" s="23"/>
      <c r="J101" s="23"/>
      <c r="K101" s="23"/>
      <c r="L101" s="23"/>
    </row>
    <row r="102" spans="1:12" x14ac:dyDescent="0.25">
      <c r="F102" s="23"/>
      <c r="G102" s="23"/>
      <c r="H102" s="23"/>
      <c r="I102" s="23"/>
      <c r="J102" s="23"/>
      <c r="K102" s="23"/>
      <c r="L102" s="23"/>
    </row>
    <row r="103" spans="1:12" x14ac:dyDescent="0.25">
      <c r="F103" s="23"/>
      <c r="G103" s="23"/>
      <c r="H103" s="23"/>
      <c r="I103" s="23"/>
      <c r="J103" s="23"/>
      <c r="K103" s="23"/>
      <c r="L103" s="23"/>
    </row>
    <row r="104" spans="1:12" x14ac:dyDescent="0.25">
      <c r="F104" s="23"/>
      <c r="G104" s="23"/>
      <c r="H104" s="23" t="s">
        <v>435</v>
      </c>
      <c r="I104" s="23"/>
      <c r="J104" s="23"/>
      <c r="K104" s="23"/>
      <c r="L104" s="23"/>
    </row>
    <row r="105" spans="1:12" ht="15" customHeight="1" x14ac:dyDescent="0.25">
      <c r="F105" s="23"/>
      <c r="G105" s="23"/>
      <c r="H105" s="23"/>
      <c r="I105" s="23"/>
      <c r="J105" s="23"/>
      <c r="K105" s="23"/>
      <c r="L105" s="23"/>
    </row>
    <row r="106" spans="1:12" x14ac:dyDescent="0.25">
      <c r="F106" s="23"/>
      <c r="G106" s="23"/>
      <c r="H106" s="23"/>
      <c r="I106" s="23"/>
      <c r="J106" s="23"/>
      <c r="K106" s="23"/>
      <c r="L106" s="23"/>
    </row>
    <row r="107" spans="1:12" x14ac:dyDescent="0.25">
      <c r="F107" s="23"/>
      <c r="G107" s="23"/>
      <c r="H107" s="23"/>
      <c r="I107" s="23"/>
      <c r="J107" s="23"/>
      <c r="K107" s="23"/>
      <c r="L107" s="23"/>
    </row>
    <row r="108" spans="1:12" x14ac:dyDescent="0.25">
      <c r="F108" s="23"/>
      <c r="G108" s="23"/>
      <c r="H108" s="23"/>
      <c r="I108" s="23"/>
      <c r="J108" s="23"/>
      <c r="K108" s="23"/>
      <c r="L108" s="23"/>
    </row>
    <row r="109" spans="1:12" x14ac:dyDescent="0.25">
      <c r="F109" s="23"/>
      <c r="G109" s="23"/>
      <c r="H109" s="23"/>
      <c r="I109" s="23"/>
      <c r="J109" s="23"/>
      <c r="K109" s="23"/>
      <c r="L109" s="23"/>
    </row>
    <row r="110" spans="1:12" x14ac:dyDescent="0.25">
      <c r="F110" s="23"/>
      <c r="G110" s="23"/>
      <c r="H110" s="23"/>
      <c r="I110" s="23"/>
      <c r="J110" s="23"/>
      <c r="K110" s="23"/>
      <c r="L110" s="23"/>
    </row>
    <row r="111" spans="1:12" x14ac:dyDescent="0.25">
      <c r="F111" s="23"/>
      <c r="G111" s="23"/>
      <c r="H111" s="23"/>
      <c r="I111" s="23"/>
      <c r="J111" s="23"/>
      <c r="K111" s="23"/>
      <c r="L111" s="23"/>
    </row>
    <row r="112" spans="1:12" x14ac:dyDescent="0.25">
      <c r="F112" s="23"/>
      <c r="G112" s="23"/>
      <c r="H112" s="23"/>
      <c r="I112" s="23"/>
      <c r="J112" s="23"/>
      <c r="K112" s="23"/>
      <c r="L112" s="23"/>
    </row>
    <row r="113" spans="6:12" x14ac:dyDescent="0.25">
      <c r="F113" s="23"/>
      <c r="G113" s="23"/>
      <c r="H113" s="23"/>
      <c r="I113" s="23"/>
      <c r="J113" s="23"/>
      <c r="K113" s="23"/>
      <c r="L113" s="23"/>
    </row>
    <row r="114" spans="6:12" x14ac:dyDescent="0.25">
      <c r="F114" s="23"/>
      <c r="G114" s="23"/>
      <c r="H114" s="23"/>
      <c r="I114" s="23"/>
      <c r="J114" s="23"/>
      <c r="K114" s="23"/>
      <c r="L114" s="23"/>
    </row>
    <row r="115" spans="6:12" x14ac:dyDescent="0.25">
      <c r="F115" s="23"/>
      <c r="G115" s="23"/>
      <c r="H115" s="23"/>
      <c r="I115" s="23"/>
      <c r="J115" s="23"/>
      <c r="K115" s="23"/>
      <c r="L115" s="23"/>
    </row>
    <row r="116" spans="6:12" x14ac:dyDescent="0.25">
      <c r="F116" s="23"/>
      <c r="G116" s="23"/>
      <c r="H116" s="23"/>
      <c r="I116" s="23"/>
      <c r="J116" s="23"/>
      <c r="K116" s="23"/>
      <c r="L116" s="23"/>
    </row>
    <row r="117" spans="6:12" x14ac:dyDescent="0.25">
      <c r="F117" s="23"/>
      <c r="G117" s="23"/>
      <c r="H117" s="23"/>
      <c r="I117" s="23"/>
      <c r="J117" s="23"/>
      <c r="K117" s="23"/>
      <c r="L117" s="23"/>
    </row>
    <row r="118" spans="6:12" x14ac:dyDescent="0.25">
      <c r="F118" s="23"/>
      <c r="G118" s="23"/>
      <c r="H118" s="23"/>
      <c r="I118" s="23"/>
      <c r="J118" s="23"/>
      <c r="K118" s="23"/>
      <c r="L118" s="23"/>
    </row>
    <row r="119" spans="6:12" x14ac:dyDescent="0.25">
      <c r="F119" s="23"/>
      <c r="G119" s="23"/>
      <c r="H119" s="23"/>
      <c r="I119" s="23"/>
      <c r="J119" s="23"/>
      <c r="K119" s="23"/>
      <c r="L119" s="23"/>
    </row>
    <row r="120" spans="6:12" x14ac:dyDescent="0.25">
      <c r="F120" s="23"/>
      <c r="G120" s="23"/>
      <c r="H120" s="23"/>
      <c r="I120" s="23"/>
      <c r="J120" s="23"/>
      <c r="K120" s="23"/>
      <c r="L120" s="23"/>
    </row>
    <row r="121" spans="6:12" x14ac:dyDescent="0.25">
      <c r="F121" s="23"/>
      <c r="G121" s="23"/>
      <c r="H121" s="23"/>
      <c r="I121" s="23"/>
      <c r="J121" s="23"/>
      <c r="K121" s="23"/>
      <c r="L121" s="23"/>
    </row>
    <row r="122" spans="6:12" x14ac:dyDescent="0.25">
      <c r="F122" s="23"/>
      <c r="G122" s="23"/>
      <c r="H122" s="23"/>
      <c r="I122" s="23"/>
      <c r="J122" s="23"/>
      <c r="K122" s="23"/>
      <c r="L122" s="23"/>
    </row>
    <row r="123" spans="6:12" x14ac:dyDescent="0.25">
      <c r="F123" s="23"/>
      <c r="G123" s="23"/>
      <c r="H123" s="23"/>
      <c r="I123" s="23"/>
      <c r="J123" s="23"/>
      <c r="K123" s="23"/>
      <c r="L123" s="23"/>
    </row>
    <row r="124" spans="6:12" x14ac:dyDescent="0.25">
      <c r="F124" s="23"/>
      <c r="G124" s="23"/>
      <c r="H124" s="23"/>
      <c r="I124" s="23"/>
      <c r="J124" s="23"/>
      <c r="K124" s="23"/>
      <c r="L124" s="23"/>
    </row>
    <row r="125" spans="6:12" x14ac:dyDescent="0.25">
      <c r="F125" s="23"/>
      <c r="G125" s="23"/>
      <c r="H125" s="23"/>
      <c r="I125" s="23"/>
      <c r="J125" s="23"/>
      <c r="K125" s="23"/>
      <c r="L125" s="23"/>
    </row>
    <row r="126" spans="6:12" x14ac:dyDescent="0.25">
      <c r="F126" s="23"/>
      <c r="G126" s="23"/>
      <c r="H126" s="23"/>
      <c r="I126" s="23"/>
      <c r="J126" s="23"/>
      <c r="K126" s="23"/>
      <c r="L126" s="23"/>
    </row>
    <row r="127" spans="6:12" x14ac:dyDescent="0.25">
      <c r="F127" s="23"/>
      <c r="G127" s="23"/>
      <c r="H127" s="23"/>
      <c r="I127" s="23"/>
      <c r="J127" s="23"/>
      <c r="K127" s="23"/>
      <c r="L127" s="23"/>
    </row>
    <row r="128" spans="6:12" x14ac:dyDescent="0.25">
      <c r="F128" s="23"/>
      <c r="G128" s="23"/>
      <c r="H128" s="23"/>
      <c r="I128" s="23"/>
      <c r="J128" s="23"/>
      <c r="K128" s="23"/>
      <c r="L128" s="23"/>
    </row>
    <row r="129" spans="6:12" x14ac:dyDescent="0.25">
      <c r="F129" s="23"/>
      <c r="G129" s="23"/>
      <c r="H129" s="23"/>
      <c r="I129" s="23"/>
      <c r="J129" s="23"/>
      <c r="K129" s="23"/>
      <c r="L129" s="23"/>
    </row>
    <row r="130" spans="6:12" x14ac:dyDescent="0.25">
      <c r="F130" s="23"/>
      <c r="G130" s="23"/>
      <c r="H130" s="23"/>
      <c r="I130" s="23"/>
      <c r="J130" s="23"/>
      <c r="K130" s="23"/>
      <c r="L130" s="23"/>
    </row>
    <row r="131" spans="6:12" x14ac:dyDescent="0.25">
      <c r="F131" s="23"/>
      <c r="G131" s="23"/>
      <c r="H131" s="23"/>
      <c r="I131" s="23"/>
      <c r="J131" s="23"/>
      <c r="K131" s="23"/>
      <c r="L131" s="23"/>
    </row>
    <row r="132" spans="6:12" x14ac:dyDescent="0.25">
      <c r="F132" s="23"/>
      <c r="G132" s="23"/>
      <c r="H132" s="23"/>
      <c r="I132" s="23"/>
      <c r="J132" s="23"/>
      <c r="K132" s="23"/>
      <c r="L132" s="23"/>
    </row>
    <row r="133" spans="6:12" x14ac:dyDescent="0.25">
      <c r="F133" s="23"/>
      <c r="G133" s="23"/>
      <c r="H133" s="23"/>
      <c r="I133" s="23"/>
      <c r="J133" s="23"/>
      <c r="K133" s="23"/>
      <c r="L133" s="23"/>
    </row>
    <row r="134" spans="6:12" x14ac:dyDescent="0.25">
      <c r="F134" s="23"/>
      <c r="G134" s="23"/>
      <c r="H134" s="23"/>
      <c r="I134" s="23"/>
      <c r="J134" s="23"/>
      <c r="K134" s="23"/>
      <c r="L134" s="23"/>
    </row>
    <row r="135" spans="6:12" x14ac:dyDescent="0.25">
      <c r="F135" s="23"/>
      <c r="G135" s="23"/>
      <c r="H135" s="23"/>
      <c r="I135" s="23"/>
      <c r="J135" s="23"/>
      <c r="K135" s="23"/>
      <c r="L135" s="23"/>
    </row>
    <row r="136" spans="6:12" ht="15" customHeight="1" x14ac:dyDescent="0.25">
      <c r="F136" s="23"/>
      <c r="G136" s="23"/>
      <c r="H136" s="23"/>
      <c r="I136" s="23"/>
      <c r="J136" s="23"/>
      <c r="K136" s="23"/>
      <c r="L136" s="23"/>
    </row>
    <row r="137" spans="6:12" x14ac:dyDescent="0.25">
      <c r="F137" s="23"/>
      <c r="G137" s="23"/>
      <c r="H137" s="23"/>
      <c r="I137" s="23"/>
      <c r="J137" s="23"/>
      <c r="K137" s="23"/>
      <c r="L137" s="23"/>
    </row>
    <row r="138" spans="6:12" x14ac:dyDescent="0.25">
      <c r="F138" s="23"/>
      <c r="G138" s="23"/>
      <c r="H138" s="23"/>
      <c r="I138" s="23"/>
      <c r="J138" s="23"/>
      <c r="K138" s="23"/>
      <c r="L138" s="23"/>
    </row>
    <row r="139" spans="6:12" x14ac:dyDescent="0.25">
      <c r="F139" s="23"/>
      <c r="G139" s="23"/>
      <c r="H139" s="23"/>
      <c r="I139" s="23"/>
      <c r="J139" s="23"/>
      <c r="K139" s="23"/>
      <c r="L139" s="23"/>
    </row>
    <row r="140" spans="6:12" x14ac:dyDescent="0.25">
      <c r="F140" s="23"/>
      <c r="G140" s="23"/>
      <c r="H140" s="23"/>
      <c r="I140" s="23"/>
      <c r="J140" s="23"/>
      <c r="K140" s="23"/>
      <c r="L140" s="23"/>
    </row>
    <row r="141" spans="6:12" x14ac:dyDescent="0.25">
      <c r="F141" s="23"/>
      <c r="G141" s="23"/>
      <c r="H141" s="23"/>
      <c r="I141" s="23"/>
      <c r="J141" s="23"/>
      <c r="K141" s="23"/>
      <c r="L141" s="23"/>
    </row>
    <row r="142" spans="6:12" x14ac:dyDescent="0.25">
      <c r="F142" s="23"/>
      <c r="G142" s="23"/>
      <c r="H142" s="23"/>
      <c r="I142" s="23"/>
      <c r="J142" s="23"/>
      <c r="K142" s="23"/>
      <c r="L142" s="23"/>
    </row>
    <row r="143" spans="6:12" x14ac:dyDescent="0.25">
      <c r="F143" s="23"/>
      <c r="G143" s="23"/>
      <c r="H143" s="23"/>
      <c r="I143" s="23"/>
      <c r="J143" s="23"/>
      <c r="K143" s="23"/>
      <c r="L143" s="23"/>
    </row>
    <row r="144" spans="6:12" x14ac:dyDescent="0.25">
      <c r="F144" s="23"/>
      <c r="G144" s="23"/>
      <c r="H144" s="23"/>
      <c r="I144" s="23"/>
      <c r="J144" s="23"/>
      <c r="K144" s="23"/>
      <c r="L144" s="23"/>
    </row>
    <row r="145" spans="6:12" x14ac:dyDescent="0.25">
      <c r="F145" s="23"/>
      <c r="G145" s="23"/>
      <c r="H145" s="23"/>
      <c r="I145" s="23"/>
      <c r="J145" s="23"/>
      <c r="K145" s="23"/>
      <c r="L145" s="23"/>
    </row>
    <row r="146" spans="6:12" x14ac:dyDescent="0.25">
      <c r="F146" s="23"/>
      <c r="G146" s="23"/>
      <c r="H146" s="23"/>
      <c r="I146" s="23"/>
      <c r="J146" s="23"/>
      <c r="K146" s="23"/>
      <c r="L146" s="23"/>
    </row>
    <row r="147" spans="6:12" x14ac:dyDescent="0.25">
      <c r="F147" s="23"/>
      <c r="G147" s="23"/>
      <c r="H147" s="23"/>
      <c r="I147" s="23"/>
      <c r="J147" s="23"/>
      <c r="K147" s="23"/>
      <c r="L147" s="23"/>
    </row>
    <row r="148" spans="6:12" x14ac:dyDescent="0.25">
      <c r="F148" s="23"/>
      <c r="G148" s="23"/>
      <c r="H148" s="23"/>
      <c r="I148" s="23"/>
      <c r="J148" s="23"/>
      <c r="K148" s="23"/>
      <c r="L148" s="23"/>
    </row>
    <row r="149" spans="6:12" x14ac:dyDescent="0.25">
      <c r="F149" s="23"/>
      <c r="G149" s="23"/>
      <c r="H149" s="23"/>
      <c r="I149" s="23"/>
      <c r="J149" s="23"/>
      <c r="K149" s="23"/>
      <c r="L149" s="23"/>
    </row>
    <row r="150" spans="6:12" x14ac:dyDescent="0.25">
      <c r="F150" s="23"/>
      <c r="G150" s="23"/>
      <c r="H150" s="23"/>
      <c r="I150" s="23"/>
      <c r="J150" s="23"/>
      <c r="K150" s="23"/>
      <c r="L150" s="23"/>
    </row>
    <row r="151" spans="6:12" x14ac:dyDescent="0.25">
      <c r="F151" s="23"/>
      <c r="G151" s="23"/>
      <c r="H151" s="23"/>
      <c r="I151" s="23"/>
      <c r="J151" s="23"/>
      <c r="K151" s="23"/>
      <c r="L151" s="23"/>
    </row>
    <row r="152" spans="6:12" x14ac:dyDescent="0.25">
      <c r="F152" s="23"/>
      <c r="G152" s="23"/>
      <c r="H152" s="23"/>
      <c r="I152" s="23"/>
      <c r="J152" s="23"/>
      <c r="K152" s="23"/>
      <c r="L152" s="23"/>
    </row>
    <row r="153" spans="6:12" x14ac:dyDescent="0.25">
      <c r="F153" s="23"/>
      <c r="G153" s="23"/>
      <c r="H153" s="23"/>
      <c r="I153" s="23"/>
      <c r="J153" s="23"/>
      <c r="K153" s="23"/>
      <c r="L153" s="23"/>
    </row>
    <row r="154" spans="6:12" x14ac:dyDescent="0.25">
      <c r="F154" s="23"/>
      <c r="G154" s="23"/>
      <c r="H154" s="23"/>
      <c r="I154" s="23"/>
      <c r="J154" s="23"/>
      <c r="K154" s="23"/>
      <c r="L154" s="23"/>
    </row>
    <row r="155" spans="6:12" x14ac:dyDescent="0.25">
      <c r="F155" s="23"/>
      <c r="G155" s="23"/>
      <c r="H155" s="23"/>
      <c r="I155" s="23"/>
      <c r="J155" s="23"/>
      <c r="K155" s="23"/>
      <c r="L155" s="23"/>
    </row>
    <row r="156" spans="6:12" x14ac:dyDescent="0.25">
      <c r="F156" s="23"/>
      <c r="G156" s="23"/>
      <c r="H156" s="23"/>
      <c r="I156" s="23"/>
      <c r="J156" s="23"/>
      <c r="K156" s="23"/>
      <c r="L156" s="23"/>
    </row>
    <row r="157" spans="6:12" x14ac:dyDescent="0.25">
      <c r="F157" s="23"/>
      <c r="G157" s="23"/>
      <c r="H157" s="23"/>
      <c r="I157" s="23"/>
      <c r="J157" s="23"/>
      <c r="K157" s="23"/>
      <c r="L157" s="23"/>
    </row>
    <row r="158" spans="6:12" x14ac:dyDescent="0.25">
      <c r="F158" s="23"/>
      <c r="G158" s="23"/>
      <c r="H158" s="23"/>
      <c r="I158" s="23"/>
      <c r="J158" s="23"/>
      <c r="K158" s="23"/>
      <c r="L158" s="23"/>
    </row>
    <row r="159" spans="6:12" x14ac:dyDescent="0.25">
      <c r="F159" s="23"/>
      <c r="G159" s="23"/>
      <c r="H159" s="23"/>
      <c r="I159" s="23"/>
      <c r="J159" s="23"/>
      <c r="K159" s="23"/>
      <c r="L159" s="23"/>
    </row>
    <row r="160" spans="6:12" ht="15" customHeight="1" x14ac:dyDescent="0.25">
      <c r="F160" s="23"/>
      <c r="G160" s="23"/>
      <c r="H160" s="23"/>
      <c r="I160" s="23"/>
      <c r="J160" s="23"/>
      <c r="K160" s="23"/>
      <c r="L160" s="23"/>
    </row>
    <row r="161" spans="6:12" x14ac:dyDescent="0.25">
      <c r="F161" s="23"/>
      <c r="G161" s="23"/>
      <c r="H161" s="23"/>
      <c r="I161" s="23"/>
      <c r="J161" s="23"/>
      <c r="K161" s="23"/>
      <c r="L161" s="23"/>
    </row>
    <row r="162" spans="6:12" x14ac:dyDescent="0.25">
      <c r="F162" s="23"/>
      <c r="G162" s="23"/>
      <c r="H162" s="23"/>
      <c r="I162" s="23"/>
      <c r="J162" s="23"/>
      <c r="K162" s="23"/>
      <c r="L162" s="23"/>
    </row>
    <row r="163" spans="6:12" x14ac:dyDescent="0.25">
      <c r="F163" s="23"/>
      <c r="G163" s="23"/>
      <c r="H163" s="23"/>
      <c r="I163" s="23"/>
      <c r="J163" s="23"/>
      <c r="K163" s="23"/>
      <c r="L163" s="23"/>
    </row>
    <row r="164" spans="6:12" x14ac:dyDescent="0.25">
      <c r="F164" s="23"/>
      <c r="G164" s="23"/>
      <c r="H164" s="23"/>
      <c r="I164" s="23"/>
      <c r="J164" s="23"/>
      <c r="K164" s="23"/>
      <c r="L164" s="23"/>
    </row>
    <row r="165" spans="6:12" x14ac:dyDescent="0.25">
      <c r="F165" s="23"/>
      <c r="G165" s="23"/>
      <c r="H165" s="23"/>
      <c r="I165" s="23"/>
      <c r="J165" s="23"/>
      <c r="K165" s="23"/>
      <c r="L165" s="23"/>
    </row>
    <row r="166" spans="6:12" x14ac:dyDescent="0.25">
      <c r="F166" s="23"/>
      <c r="G166" s="23"/>
      <c r="H166" s="23"/>
      <c r="I166" s="23"/>
      <c r="J166" s="23"/>
      <c r="K166" s="23"/>
      <c r="L166" s="23"/>
    </row>
    <row r="167" spans="6:12" x14ac:dyDescent="0.25">
      <c r="F167" s="23"/>
      <c r="G167" s="23"/>
      <c r="H167" s="23"/>
      <c r="I167" s="23"/>
      <c r="J167" s="23"/>
      <c r="K167" s="23"/>
      <c r="L167" s="23"/>
    </row>
    <row r="171" spans="6:12" ht="15" customHeight="1" x14ac:dyDescent="0.25"/>
  </sheetData>
  <sortState xmlns:xlrd2="http://schemas.microsoft.com/office/spreadsheetml/2017/richdata2" ref="Y4:Z95">
    <sortCondition ref="Y3:Y9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0"/>
  <sheetViews>
    <sheetView topLeftCell="R1" zoomScale="70" zoomScaleNormal="70" workbookViewId="0">
      <selection activeCell="W29" sqref="W29"/>
    </sheetView>
  </sheetViews>
  <sheetFormatPr baseColWidth="10" defaultColWidth="10.85546875" defaultRowHeight="15.75" x14ac:dyDescent="0.25"/>
  <cols>
    <col min="1" max="1" width="17" style="27" customWidth="1"/>
    <col min="2" max="2" width="17.28515625" style="35" customWidth="1"/>
    <col min="3" max="3" width="10.140625" style="35" bestFit="1" customWidth="1"/>
    <col min="4" max="4" width="8.85546875" style="35" bestFit="1" customWidth="1"/>
    <col min="5" max="5" width="10.140625" style="35" bestFit="1" customWidth="1"/>
    <col min="6" max="6" width="5.140625" style="35" customWidth="1"/>
    <col min="7" max="7" width="17.42578125" style="35" customWidth="1"/>
    <col min="8" max="8" width="11.140625" style="35" bestFit="1" customWidth="1"/>
    <col min="9" max="9" width="8.85546875" style="35" bestFit="1" customWidth="1"/>
    <col min="10" max="10" width="10.140625" style="27" bestFit="1" customWidth="1"/>
    <col min="11" max="12" width="10.85546875" style="27"/>
    <col min="13" max="14" width="19.140625" style="27" customWidth="1"/>
    <col min="15" max="15" width="17.85546875" style="27" customWidth="1"/>
    <col min="16" max="16" width="19.7109375" style="27" customWidth="1"/>
    <col min="17" max="18" width="8.85546875" style="27" customWidth="1"/>
    <col min="19" max="19" width="10.85546875" style="27" customWidth="1"/>
    <col min="20" max="20" width="16.140625" style="27" customWidth="1"/>
    <col min="21" max="21" width="15.7109375" style="27" customWidth="1"/>
    <col min="22" max="22" width="17.5703125" style="27" customWidth="1"/>
    <col min="23" max="23" width="19" style="27" customWidth="1"/>
    <col min="24" max="16384" width="10.85546875" style="27"/>
  </cols>
  <sheetData>
    <row r="1" spans="1:26" ht="25.5" customHeight="1" x14ac:dyDescent="0.25">
      <c r="M1" s="210" t="s">
        <v>468</v>
      </c>
      <c r="N1" s="209"/>
      <c r="O1" s="209"/>
      <c r="P1" s="209"/>
      <c r="Q1" s="209"/>
      <c r="R1" s="209"/>
      <c r="T1" s="208" t="s">
        <v>469</v>
      </c>
      <c r="U1" s="209"/>
      <c r="V1" s="209"/>
      <c r="W1" s="209"/>
      <c r="X1" s="209"/>
      <c r="Y1" s="209"/>
    </row>
    <row r="2" spans="1:26" x14ac:dyDescent="0.25">
      <c r="B2" s="28"/>
      <c r="C2" s="29" t="s">
        <v>316</v>
      </c>
      <c r="D2" s="29" t="s">
        <v>318</v>
      </c>
      <c r="E2" s="29"/>
      <c r="F2" s="29"/>
      <c r="G2" s="28"/>
      <c r="H2" s="29" t="s">
        <v>317</v>
      </c>
      <c r="I2" s="29" t="s">
        <v>319</v>
      </c>
      <c r="J2" s="28"/>
      <c r="M2" s="77" t="s">
        <v>3</v>
      </c>
      <c r="N2" s="108" t="s">
        <v>4</v>
      </c>
      <c r="O2" s="77" t="s">
        <v>5</v>
      </c>
      <c r="P2" s="77" t="s">
        <v>6</v>
      </c>
      <c r="Q2" s="106" t="s">
        <v>391</v>
      </c>
      <c r="R2" s="106" t="s">
        <v>392</v>
      </c>
      <c r="S2" s="70"/>
      <c r="T2" s="103" t="s">
        <v>3</v>
      </c>
      <c r="U2" s="103" t="s">
        <v>4</v>
      </c>
      <c r="V2" s="103" t="s">
        <v>5</v>
      </c>
      <c r="W2" s="103" t="s">
        <v>6</v>
      </c>
      <c r="X2" s="106" t="s">
        <v>391</v>
      </c>
      <c r="Y2" s="106" t="s">
        <v>392</v>
      </c>
    </row>
    <row r="3" spans="1:26" x14ac:dyDescent="0.25">
      <c r="A3" s="31" t="s">
        <v>12</v>
      </c>
      <c r="B3" s="27" t="s">
        <v>332</v>
      </c>
      <c r="C3" s="30">
        <v>1</v>
      </c>
      <c r="D3" s="30">
        <v>1</v>
      </c>
      <c r="E3" s="29"/>
      <c r="F3" s="29"/>
      <c r="G3" s="27" t="s">
        <v>332</v>
      </c>
      <c r="H3" s="31">
        <v>1</v>
      </c>
      <c r="I3" s="29">
        <v>2</v>
      </c>
      <c r="J3" s="28"/>
      <c r="M3" s="91" t="s">
        <v>18</v>
      </c>
      <c r="N3" s="83" t="s">
        <v>393</v>
      </c>
      <c r="O3" s="79" t="s">
        <v>20</v>
      </c>
      <c r="P3" s="219" t="s">
        <v>396</v>
      </c>
      <c r="Q3" s="110">
        <v>1</v>
      </c>
      <c r="R3" s="111">
        <v>0</v>
      </c>
      <c r="S3" s="111"/>
      <c r="T3" s="98" t="s">
        <v>175</v>
      </c>
      <c r="U3" s="97" t="s">
        <v>176</v>
      </c>
      <c r="V3" s="98" t="s">
        <v>177</v>
      </c>
      <c r="W3" s="221" t="s">
        <v>505</v>
      </c>
      <c r="X3" s="116">
        <v>11</v>
      </c>
      <c r="Y3" s="117">
        <v>2</v>
      </c>
    </row>
    <row r="4" spans="1:26" x14ac:dyDescent="0.25">
      <c r="B4" s="31" t="s">
        <v>175</v>
      </c>
      <c r="C4" s="31">
        <v>2</v>
      </c>
      <c r="D4" s="31">
        <v>1</v>
      </c>
      <c r="E4" s="29"/>
      <c r="F4" s="29"/>
      <c r="G4" s="31" t="s">
        <v>175</v>
      </c>
      <c r="H4" s="30">
        <v>9</v>
      </c>
      <c r="I4" s="29">
        <v>1</v>
      </c>
      <c r="J4" s="28"/>
      <c r="M4" s="80"/>
      <c r="O4" s="86"/>
      <c r="P4" s="89" t="s">
        <v>397</v>
      </c>
      <c r="Q4" s="110">
        <v>1</v>
      </c>
      <c r="R4" s="111">
        <v>0</v>
      </c>
      <c r="S4" s="111"/>
      <c r="T4" s="78" t="s">
        <v>185</v>
      </c>
      <c r="U4" s="97" t="s">
        <v>186</v>
      </c>
      <c r="V4" s="98" t="s">
        <v>187</v>
      </c>
      <c r="W4" s="224" t="s">
        <v>506</v>
      </c>
      <c r="X4" s="116">
        <v>0</v>
      </c>
      <c r="Y4" s="117">
        <v>2</v>
      </c>
    </row>
    <row r="5" spans="1:26" x14ac:dyDescent="0.25">
      <c r="B5" s="31" t="s">
        <v>185</v>
      </c>
      <c r="C5" s="31">
        <v>21</v>
      </c>
      <c r="D5" s="31">
        <v>8</v>
      </c>
      <c r="E5" s="29"/>
      <c r="F5" s="29"/>
      <c r="G5" s="31" t="s">
        <v>185</v>
      </c>
      <c r="H5" s="31">
        <v>51</v>
      </c>
      <c r="I5" s="29">
        <v>74</v>
      </c>
      <c r="J5" s="213" t="s">
        <v>391</v>
      </c>
      <c r="K5" s="70" t="s">
        <v>392</v>
      </c>
      <c r="M5" s="80"/>
      <c r="N5" s="78"/>
      <c r="O5" s="84"/>
      <c r="P5" s="97" t="s">
        <v>398</v>
      </c>
      <c r="Q5" s="110">
        <v>2</v>
      </c>
      <c r="R5" s="111">
        <v>0</v>
      </c>
      <c r="S5" s="111"/>
      <c r="U5" s="97" t="s">
        <v>190</v>
      </c>
      <c r="V5" s="98" t="s">
        <v>191</v>
      </c>
      <c r="W5" s="224" t="s">
        <v>507</v>
      </c>
      <c r="X5" s="116">
        <v>7</v>
      </c>
      <c r="Y5" s="117">
        <v>5</v>
      </c>
    </row>
    <row r="6" spans="1:26" x14ac:dyDescent="0.25">
      <c r="B6" s="31" t="s">
        <v>18</v>
      </c>
      <c r="C6" s="31">
        <v>112</v>
      </c>
      <c r="D6" s="31">
        <v>23</v>
      </c>
      <c r="E6" s="29"/>
      <c r="F6" s="29"/>
      <c r="G6" s="31" t="s">
        <v>18</v>
      </c>
      <c r="H6" s="31">
        <v>60</v>
      </c>
      <c r="I6" s="29">
        <v>42</v>
      </c>
      <c r="J6" s="28">
        <v>143</v>
      </c>
      <c r="K6" s="27">
        <v>37</v>
      </c>
      <c r="M6" s="80"/>
      <c r="N6" s="90" t="s">
        <v>23</v>
      </c>
      <c r="O6" s="83" t="s">
        <v>24</v>
      </c>
      <c r="P6" s="97" t="s">
        <v>399</v>
      </c>
      <c r="Q6" s="110">
        <v>1</v>
      </c>
      <c r="R6" s="111">
        <v>0</v>
      </c>
      <c r="S6" s="111"/>
      <c r="U6" s="84" t="s">
        <v>199</v>
      </c>
      <c r="V6" s="78" t="s">
        <v>200</v>
      </c>
      <c r="W6" s="228" t="s">
        <v>508</v>
      </c>
      <c r="X6" s="116">
        <v>6</v>
      </c>
      <c r="Y6" s="117">
        <v>4</v>
      </c>
    </row>
    <row r="7" spans="1:26" x14ac:dyDescent="0.25">
      <c r="A7" s="31" t="s">
        <v>162</v>
      </c>
      <c r="B7" s="27" t="s">
        <v>333</v>
      </c>
      <c r="C7" s="29">
        <v>6</v>
      </c>
      <c r="D7" s="31">
        <v>4</v>
      </c>
      <c r="E7" s="29"/>
      <c r="F7" s="29"/>
      <c r="G7" s="27" t="s">
        <v>333</v>
      </c>
      <c r="H7" s="29">
        <v>6</v>
      </c>
      <c r="I7" s="29">
        <v>5</v>
      </c>
      <c r="J7" s="212">
        <v>127</v>
      </c>
      <c r="K7" s="87">
        <v>124</v>
      </c>
      <c r="N7" s="94"/>
      <c r="O7" s="109"/>
      <c r="P7" s="89" t="s">
        <v>400</v>
      </c>
      <c r="Q7" s="110">
        <v>0</v>
      </c>
      <c r="R7" s="111">
        <v>5</v>
      </c>
      <c r="S7" s="111"/>
      <c r="U7" s="86"/>
      <c r="W7" s="224" t="s">
        <v>509</v>
      </c>
      <c r="X7" s="116">
        <v>1</v>
      </c>
      <c r="Y7" s="117">
        <v>4</v>
      </c>
    </row>
    <row r="8" spans="1:26" x14ac:dyDescent="0.25">
      <c r="B8" s="29" t="s">
        <v>246</v>
      </c>
      <c r="C8" s="35">
        <v>1</v>
      </c>
      <c r="D8" s="35">
        <v>0</v>
      </c>
      <c r="H8" s="35">
        <v>0</v>
      </c>
      <c r="I8" s="35">
        <v>0</v>
      </c>
      <c r="J8" s="28">
        <v>270</v>
      </c>
      <c r="K8" s="27">
        <v>161</v>
      </c>
      <c r="M8" s="80"/>
      <c r="N8" s="99" t="s">
        <v>394</v>
      </c>
      <c r="O8" s="97" t="s">
        <v>249</v>
      </c>
      <c r="P8" s="219" t="s">
        <v>470</v>
      </c>
      <c r="Q8" s="110">
        <v>1</v>
      </c>
      <c r="R8" s="111">
        <v>0</v>
      </c>
      <c r="S8" s="111"/>
      <c r="T8" s="104"/>
      <c r="U8" s="86"/>
      <c r="W8" s="228" t="s">
        <v>510</v>
      </c>
      <c r="X8" s="116">
        <v>0</v>
      </c>
      <c r="Y8" s="117">
        <v>2</v>
      </c>
    </row>
    <row r="9" spans="1:26" x14ac:dyDescent="0.25">
      <c r="B9" s="29"/>
      <c r="C9" s="29">
        <f>SUM(C3:C8)</f>
        <v>143</v>
      </c>
      <c r="D9" s="29">
        <f>SUM(D3:D8)</f>
        <v>37</v>
      </c>
      <c r="E9" s="29"/>
      <c r="F9" s="29"/>
      <c r="G9" s="29"/>
      <c r="H9" s="29">
        <f>SUM(H3:H8)</f>
        <v>127</v>
      </c>
      <c r="I9" s="29">
        <f>SUM(I3:I8)</f>
        <v>124</v>
      </c>
      <c r="J9" s="28"/>
      <c r="M9" s="80"/>
      <c r="N9" s="90" t="s">
        <v>28</v>
      </c>
      <c r="O9" s="97" t="s">
        <v>330</v>
      </c>
      <c r="P9" s="219" t="s">
        <v>471</v>
      </c>
      <c r="Q9" s="110">
        <v>2</v>
      </c>
      <c r="R9" s="111">
        <v>0</v>
      </c>
      <c r="S9" s="111"/>
      <c r="T9" s="32"/>
      <c r="U9" s="85"/>
      <c r="V9" s="32"/>
      <c r="W9" s="224" t="s">
        <v>511</v>
      </c>
      <c r="X9" s="116">
        <v>1</v>
      </c>
      <c r="Y9" s="117">
        <v>0</v>
      </c>
    </row>
    <row r="10" spans="1:26" x14ac:dyDescent="0.25">
      <c r="A10" s="32"/>
      <c r="M10" s="80"/>
      <c r="N10" s="93"/>
      <c r="O10" s="94" t="s">
        <v>251</v>
      </c>
      <c r="P10" s="222" t="s">
        <v>472</v>
      </c>
      <c r="Q10" s="110">
        <v>1</v>
      </c>
      <c r="R10" s="111">
        <v>0</v>
      </c>
      <c r="S10" s="111"/>
      <c r="U10" s="86"/>
      <c r="W10" s="228" t="s">
        <v>512</v>
      </c>
      <c r="X10" s="116">
        <v>18</v>
      </c>
      <c r="Y10" s="117">
        <v>21</v>
      </c>
    </row>
    <row r="11" spans="1:26" x14ac:dyDescent="0.25">
      <c r="M11" s="80"/>
      <c r="N11" s="90" t="s">
        <v>33</v>
      </c>
      <c r="O11" s="83" t="s">
        <v>329</v>
      </c>
      <c r="P11" s="223" t="s">
        <v>473</v>
      </c>
      <c r="Q11" s="110">
        <v>0</v>
      </c>
      <c r="R11" s="111">
        <v>2</v>
      </c>
      <c r="S11" s="111"/>
      <c r="U11" s="97" t="s">
        <v>212</v>
      </c>
      <c r="V11" s="98" t="s">
        <v>213</v>
      </c>
      <c r="W11" s="224" t="s">
        <v>513</v>
      </c>
      <c r="X11" s="116">
        <v>13</v>
      </c>
      <c r="Y11" s="117">
        <v>23</v>
      </c>
      <c r="Z11" s="32"/>
    </row>
    <row r="12" spans="1:26" s="32" customFormat="1" x14ac:dyDescent="0.25">
      <c r="A12" s="27"/>
      <c r="K12" s="27"/>
      <c r="M12" s="81"/>
      <c r="N12" s="101"/>
      <c r="O12" s="100"/>
      <c r="P12" s="224" t="s">
        <v>474</v>
      </c>
      <c r="Q12" s="110">
        <v>0</v>
      </c>
      <c r="R12" s="111">
        <v>1</v>
      </c>
      <c r="S12" s="111"/>
      <c r="T12" s="27"/>
      <c r="U12" s="84" t="s">
        <v>219</v>
      </c>
      <c r="V12" s="78" t="s">
        <v>220</v>
      </c>
      <c r="W12" s="228" t="s">
        <v>514</v>
      </c>
      <c r="X12" s="116">
        <v>0</v>
      </c>
      <c r="Y12" s="117">
        <v>4</v>
      </c>
      <c r="Z12" s="27"/>
    </row>
    <row r="13" spans="1:26" x14ac:dyDescent="0.25">
      <c r="M13" s="80"/>
      <c r="N13" s="92"/>
      <c r="O13" s="84" t="s">
        <v>38</v>
      </c>
      <c r="P13" s="225" t="s">
        <v>475</v>
      </c>
      <c r="Q13" s="116">
        <v>1</v>
      </c>
      <c r="R13" s="117">
        <v>0</v>
      </c>
      <c r="S13" s="117"/>
      <c r="U13" s="86"/>
      <c r="W13" s="224" t="s">
        <v>515</v>
      </c>
      <c r="X13" s="116">
        <v>1</v>
      </c>
      <c r="Y13" s="117">
        <v>0</v>
      </c>
    </row>
    <row r="14" spans="1:26" x14ac:dyDescent="0.25">
      <c r="M14" s="80"/>
      <c r="N14" s="92"/>
      <c r="O14" s="86"/>
      <c r="P14" s="224" t="s">
        <v>476</v>
      </c>
      <c r="Q14" s="116">
        <v>2</v>
      </c>
      <c r="R14" s="117">
        <v>0</v>
      </c>
      <c r="S14" s="117"/>
      <c r="U14" s="83" t="s">
        <v>225</v>
      </c>
      <c r="V14" s="91" t="s">
        <v>226</v>
      </c>
      <c r="W14" s="226" t="s">
        <v>516</v>
      </c>
      <c r="X14" s="116">
        <v>0</v>
      </c>
      <c r="Y14" s="117">
        <v>1</v>
      </c>
    </row>
    <row r="15" spans="1:26" x14ac:dyDescent="0.25">
      <c r="B15" s="37" t="s">
        <v>320</v>
      </c>
      <c r="C15" s="38"/>
      <c r="D15" s="38"/>
      <c r="E15" s="37"/>
      <c r="F15" s="33"/>
      <c r="G15" s="38" t="s">
        <v>320</v>
      </c>
      <c r="H15" s="38"/>
      <c r="I15" s="37"/>
      <c r="J15" s="43"/>
      <c r="M15" s="80"/>
      <c r="N15" s="92"/>
      <c r="O15" s="86"/>
      <c r="P15" s="225" t="s">
        <v>477</v>
      </c>
      <c r="Q15" s="116">
        <v>1</v>
      </c>
      <c r="R15" s="117">
        <v>0</v>
      </c>
      <c r="S15" s="117"/>
      <c r="U15" s="88"/>
      <c r="V15" s="87"/>
      <c r="W15" s="224" t="s">
        <v>517</v>
      </c>
      <c r="X15" s="116">
        <v>18</v>
      </c>
      <c r="Y15" s="117">
        <v>9</v>
      </c>
    </row>
    <row r="16" spans="1:26" x14ac:dyDescent="0.25">
      <c r="B16" s="39" t="s">
        <v>316</v>
      </c>
      <c r="C16" s="40"/>
      <c r="D16" s="39" t="s">
        <v>318</v>
      </c>
      <c r="E16" s="41"/>
      <c r="F16" s="29"/>
      <c r="G16" s="39" t="s">
        <v>317</v>
      </c>
      <c r="H16" s="40"/>
      <c r="I16" s="39" t="s">
        <v>319</v>
      </c>
      <c r="J16" s="44"/>
      <c r="N16" s="90" t="s">
        <v>44</v>
      </c>
      <c r="O16" s="83" t="s">
        <v>395</v>
      </c>
      <c r="P16" s="89" t="s">
        <v>401</v>
      </c>
      <c r="Q16" s="175">
        <v>11</v>
      </c>
      <c r="R16" s="111">
        <v>1</v>
      </c>
      <c r="S16" s="107"/>
      <c r="U16" s="83" t="s">
        <v>239</v>
      </c>
      <c r="V16" s="97" t="s">
        <v>240</v>
      </c>
      <c r="W16" s="226" t="s">
        <v>518</v>
      </c>
      <c r="X16" s="116">
        <v>2</v>
      </c>
      <c r="Y16" s="117">
        <v>5</v>
      </c>
    </row>
    <row r="17" spans="1:26" x14ac:dyDescent="0.25">
      <c r="B17" s="39" t="s">
        <v>321</v>
      </c>
      <c r="C17" s="39">
        <v>0.69525000000000003</v>
      </c>
      <c r="D17" s="39" t="s">
        <v>321</v>
      </c>
      <c r="E17" s="41">
        <v>1.0623</v>
      </c>
      <c r="F17" s="29"/>
      <c r="G17" s="39" t="s">
        <v>321</v>
      </c>
      <c r="H17" s="39">
        <v>1.1003000000000001</v>
      </c>
      <c r="I17" s="41" t="s">
        <v>321</v>
      </c>
      <c r="J17" s="44">
        <v>1.0267999999999999</v>
      </c>
      <c r="M17" s="80"/>
      <c r="N17" s="78"/>
      <c r="O17" s="84"/>
      <c r="P17" s="89" t="s">
        <v>402</v>
      </c>
      <c r="Q17" s="110">
        <v>17</v>
      </c>
      <c r="R17" s="111">
        <v>3</v>
      </c>
      <c r="S17" s="107"/>
      <c r="U17" s="84"/>
      <c r="V17" s="176" t="s">
        <v>291</v>
      </c>
      <c r="W17" s="224" t="s">
        <v>519</v>
      </c>
      <c r="X17" s="116">
        <v>1</v>
      </c>
      <c r="Y17" s="117">
        <v>0</v>
      </c>
    </row>
    <row r="18" spans="1:26" x14ac:dyDescent="0.25">
      <c r="B18" s="39" t="s">
        <v>322</v>
      </c>
      <c r="C18" s="39">
        <v>6.7409999999999996E-3</v>
      </c>
      <c r="D18" s="39" t="s">
        <v>322</v>
      </c>
      <c r="E18" s="41">
        <v>2.1971000000000001E-2</v>
      </c>
      <c r="F18" s="29"/>
      <c r="G18" s="39" t="s">
        <v>322</v>
      </c>
      <c r="H18" s="39">
        <v>4.8967000000000004E-3</v>
      </c>
      <c r="I18" s="41" t="s">
        <v>322</v>
      </c>
      <c r="J18" s="44">
        <v>7.8200000000000006E-3</v>
      </c>
      <c r="M18" s="80"/>
      <c r="N18" s="78"/>
      <c r="O18" s="84"/>
      <c r="P18" s="89" t="s">
        <v>403</v>
      </c>
      <c r="Q18" s="110">
        <v>1</v>
      </c>
      <c r="R18" s="111">
        <v>0</v>
      </c>
      <c r="S18" s="107"/>
      <c r="U18" s="84"/>
      <c r="V18" s="95"/>
      <c r="W18" s="83" t="s">
        <v>420</v>
      </c>
      <c r="X18" s="116">
        <v>2</v>
      </c>
      <c r="Y18" s="177">
        <v>0</v>
      </c>
    </row>
    <row r="19" spans="1:26" x14ac:dyDescent="0.25">
      <c r="A19" s="32"/>
      <c r="B19" s="39"/>
      <c r="C19" s="39"/>
      <c r="D19" s="39"/>
      <c r="E19" s="41"/>
      <c r="F19" s="29"/>
      <c r="G19" s="39"/>
      <c r="H19" s="39"/>
      <c r="I19" s="41"/>
      <c r="J19" s="44"/>
      <c r="N19" s="83" t="s">
        <v>55</v>
      </c>
      <c r="O19" s="79" t="s">
        <v>56</v>
      </c>
      <c r="P19" s="220" t="s">
        <v>478</v>
      </c>
      <c r="Q19" s="110">
        <v>1</v>
      </c>
      <c r="R19" s="111">
        <v>2</v>
      </c>
      <c r="U19" s="86"/>
      <c r="V19" s="105"/>
      <c r="W19" s="83" t="s">
        <v>442</v>
      </c>
      <c r="X19" s="110">
        <v>1</v>
      </c>
      <c r="Y19" s="179">
        <v>0</v>
      </c>
    </row>
    <row r="20" spans="1:26" x14ac:dyDescent="0.25">
      <c r="B20" s="39" t="s">
        <v>323</v>
      </c>
      <c r="C20" s="42">
        <v>-2.1665000000000001</v>
      </c>
      <c r="D20" s="39"/>
      <c r="E20" s="41"/>
      <c r="F20" s="29"/>
      <c r="G20" s="39" t="s">
        <v>323</v>
      </c>
      <c r="H20" s="39">
        <v>0.65129000000000004</v>
      </c>
      <c r="I20" s="41"/>
      <c r="J20" s="44"/>
      <c r="M20" s="80"/>
      <c r="N20" s="101"/>
      <c r="O20" s="84"/>
      <c r="P20" s="89" t="s">
        <v>404</v>
      </c>
      <c r="Q20" s="110">
        <v>0</v>
      </c>
      <c r="R20" s="111">
        <v>9</v>
      </c>
      <c r="S20" s="107"/>
      <c r="U20" s="88"/>
      <c r="V20" s="88"/>
      <c r="W20" s="97" t="s">
        <v>443</v>
      </c>
      <c r="X20" s="110">
        <v>0</v>
      </c>
      <c r="Y20" s="179">
        <v>1</v>
      </c>
      <c r="Z20" s="107"/>
    </row>
    <row r="21" spans="1:26" x14ac:dyDescent="0.25">
      <c r="B21" s="39" t="s">
        <v>324</v>
      </c>
      <c r="C21" s="42">
        <v>61.685000000000002</v>
      </c>
      <c r="D21" s="39"/>
      <c r="E21" s="41"/>
      <c r="F21" s="29"/>
      <c r="G21" s="39" t="s">
        <v>324</v>
      </c>
      <c r="H21" s="39">
        <v>165.18</v>
      </c>
      <c r="I21" s="41"/>
      <c r="J21" s="44"/>
      <c r="N21" s="94"/>
      <c r="O21" s="109"/>
      <c r="P21" s="89" t="s">
        <v>405</v>
      </c>
      <c r="Q21" s="110">
        <v>1</v>
      </c>
      <c r="R21" s="111">
        <v>0</v>
      </c>
      <c r="S21" s="111"/>
      <c r="T21" s="178"/>
      <c r="U21" s="94" t="s">
        <v>298</v>
      </c>
      <c r="V21" s="94" t="s">
        <v>299</v>
      </c>
      <c r="W21" s="224" t="s">
        <v>520</v>
      </c>
      <c r="X21" s="116">
        <v>1</v>
      </c>
      <c r="Y21" s="177">
        <v>0</v>
      </c>
    </row>
    <row r="22" spans="1:26" x14ac:dyDescent="0.25">
      <c r="B22" s="39" t="s">
        <v>325</v>
      </c>
      <c r="C22" s="42">
        <v>3.4145000000000002E-2</v>
      </c>
      <c r="D22" s="39"/>
      <c r="E22" s="41"/>
      <c r="F22" s="29"/>
      <c r="G22" s="39" t="s">
        <v>325</v>
      </c>
      <c r="H22" s="39">
        <v>0.51576</v>
      </c>
      <c r="I22" s="41"/>
      <c r="J22" s="44"/>
      <c r="M22" s="80"/>
      <c r="N22" s="101" t="s">
        <v>60</v>
      </c>
      <c r="O22" s="83" t="s">
        <v>61</v>
      </c>
      <c r="P22" s="223" t="s">
        <v>479</v>
      </c>
      <c r="Q22" s="110">
        <v>1</v>
      </c>
      <c r="R22" s="111">
        <v>0</v>
      </c>
      <c r="S22" s="111"/>
      <c r="T22" s="176" t="s">
        <v>246</v>
      </c>
      <c r="U22" s="99" t="s">
        <v>421</v>
      </c>
      <c r="V22" s="121"/>
      <c r="W22" s="97" t="s">
        <v>444</v>
      </c>
      <c r="X22" s="122">
        <v>1</v>
      </c>
      <c r="Y22" s="123">
        <v>0</v>
      </c>
    </row>
    <row r="23" spans="1:26" x14ac:dyDescent="0.25">
      <c r="B23" s="30"/>
      <c r="C23" s="30"/>
      <c r="D23" s="31"/>
      <c r="E23" s="29"/>
      <c r="F23" s="29"/>
      <c r="G23" s="31"/>
      <c r="H23" s="31"/>
      <c r="I23" s="29"/>
      <c r="J23" s="28"/>
      <c r="M23" s="80"/>
      <c r="O23" s="86"/>
      <c r="P23" s="224" t="s">
        <v>480</v>
      </c>
      <c r="Q23" s="110">
        <v>1</v>
      </c>
      <c r="R23" s="111">
        <v>0</v>
      </c>
      <c r="S23" s="111"/>
      <c r="X23" s="204">
        <f>SUM(X3:X22)</f>
        <v>84</v>
      </c>
      <c r="Y23" s="204">
        <f>SUM(Y3:Y22)</f>
        <v>83</v>
      </c>
    </row>
    <row r="24" spans="1:26" x14ac:dyDescent="0.25">
      <c r="B24" s="45" t="s">
        <v>326</v>
      </c>
      <c r="C24" s="46"/>
      <c r="D24" s="46"/>
      <c r="E24" s="47"/>
      <c r="F24" s="33"/>
      <c r="G24" s="46" t="s">
        <v>326</v>
      </c>
      <c r="H24" s="46"/>
      <c r="I24" s="47"/>
      <c r="J24" s="50"/>
      <c r="M24" s="80"/>
      <c r="O24" s="86"/>
      <c r="P24" s="225" t="s">
        <v>481</v>
      </c>
      <c r="Q24" s="110">
        <v>11</v>
      </c>
      <c r="R24" s="111">
        <v>3</v>
      </c>
      <c r="S24" s="111"/>
      <c r="T24" s="111"/>
      <c r="X24" s="204"/>
      <c r="Y24" s="204"/>
    </row>
    <row r="25" spans="1:26" x14ac:dyDescent="0.25">
      <c r="B25" s="48" t="s">
        <v>327</v>
      </c>
      <c r="C25" s="48">
        <v>0.64800000000000002</v>
      </c>
      <c r="D25" s="48" t="s">
        <v>327</v>
      </c>
      <c r="E25" s="49">
        <v>0.44630999999999998</v>
      </c>
      <c r="F25" s="29"/>
      <c r="G25" s="48" t="s">
        <v>327</v>
      </c>
      <c r="H25" s="48">
        <v>0.39439999999999997</v>
      </c>
      <c r="I25" s="49" t="s">
        <v>327</v>
      </c>
      <c r="J25" s="51">
        <v>0.42220999999999997</v>
      </c>
      <c r="M25" s="81"/>
      <c r="N25" s="32"/>
      <c r="O25" s="85"/>
      <c r="P25" s="226" t="s">
        <v>482</v>
      </c>
      <c r="Q25" s="110">
        <v>0</v>
      </c>
      <c r="R25" s="111">
        <v>2</v>
      </c>
      <c r="S25" s="111"/>
      <c r="T25" s="111"/>
    </row>
    <row r="26" spans="1:26" s="32" customFormat="1" x14ac:dyDescent="0.25">
      <c r="A26" s="27"/>
      <c r="B26" s="48" t="s">
        <v>322</v>
      </c>
      <c r="C26" s="48">
        <v>2.1546999999999998E-3</v>
      </c>
      <c r="D26" s="48" t="s">
        <v>322</v>
      </c>
      <c r="E26" s="49">
        <v>5.8807E-3</v>
      </c>
      <c r="F26" s="29"/>
      <c r="G26" s="48" t="s">
        <v>322</v>
      </c>
      <c r="H26" s="48">
        <v>8.1245000000000004E-4</v>
      </c>
      <c r="I26" s="49" t="s">
        <v>322</v>
      </c>
      <c r="J26" s="51">
        <v>1.1662E-3</v>
      </c>
      <c r="K26" s="27"/>
      <c r="M26" s="80"/>
      <c r="N26" s="27"/>
      <c r="O26" s="86"/>
      <c r="P26" s="224" t="s">
        <v>483</v>
      </c>
      <c r="Q26" s="110">
        <v>1</v>
      </c>
      <c r="R26" s="111">
        <v>0</v>
      </c>
      <c r="S26" s="111"/>
      <c r="T26" s="111"/>
    </row>
    <row r="27" spans="1:26" x14ac:dyDescent="0.25">
      <c r="B27" s="48"/>
      <c r="C27" s="48"/>
      <c r="D27" s="48"/>
      <c r="E27" s="49"/>
      <c r="F27" s="29"/>
      <c r="G27" s="48"/>
      <c r="H27" s="48"/>
      <c r="I27" s="49"/>
      <c r="J27" s="51"/>
      <c r="M27" s="80"/>
      <c r="O27" s="86"/>
      <c r="P27" s="224" t="s">
        <v>484</v>
      </c>
      <c r="Q27" s="110">
        <v>1</v>
      </c>
      <c r="R27" s="111">
        <v>0</v>
      </c>
      <c r="S27" s="111"/>
      <c r="T27" s="111"/>
    </row>
    <row r="28" spans="1:26" x14ac:dyDescent="0.25">
      <c r="B28" s="48" t="s">
        <v>323</v>
      </c>
      <c r="C28" s="48">
        <v>2.25</v>
      </c>
      <c r="D28" s="48"/>
      <c r="E28" s="49"/>
      <c r="F28" s="29"/>
      <c r="G28" s="48" t="s">
        <v>323</v>
      </c>
      <c r="H28" s="48">
        <v>-0.62505999999999995</v>
      </c>
      <c r="I28" s="49"/>
      <c r="J28" s="51"/>
      <c r="M28" s="80"/>
      <c r="O28" s="86"/>
      <c r="P28" s="225" t="s">
        <v>485</v>
      </c>
      <c r="Q28" s="110">
        <v>2</v>
      </c>
      <c r="R28" s="111">
        <v>0</v>
      </c>
      <c r="S28" s="111"/>
      <c r="T28" s="111"/>
    </row>
    <row r="29" spans="1:26" x14ac:dyDescent="0.25">
      <c r="B29" s="48" t="s">
        <v>324</v>
      </c>
      <c r="C29" s="48">
        <v>66.762</v>
      </c>
      <c r="D29" s="48"/>
      <c r="E29" s="49"/>
      <c r="F29" s="29"/>
      <c r="G29" s="48" t="s">
        <v>324</v>
      </c>
      <c r="H29" s="48">
        <v>171.28</v>
      </c>
      <c r="I29" s="49"/>
      <c r="J29" s="51"/>
      <c r="M29" s="80"/>
      <c r="N29" s="90" t="s">
        <v>441</v>
      </c>
      <c r="O29" s="83" t="s">
        <v>305</v>
      </c>
      <c r="P29" s="223" t="s">
        <v>486</v>
      </c>
      <c r="Q29" s="110">
        <v>1</v>
      </c>
      <c r="R29" s="111">
        <v>0</v>
      </c>
      <c r="S29" s="111"/>
      <c r="T29" s="111"/>
    </row>
    <row r="30" spans="1:26" x14ac:dyDescent="0.25">
      <c r="B30" s="48" t="s">
        <v>325</v>
      </c>
      <c r="C30" s="48">
        <v>2.7748999999999999E-2</v>
      </c>
      <c r="D30" s="48"/>
      <c r="E30" s="49"/>
      <c r="F30" s="29"/>
      <c r="G30" s="48" t="s">
        <v>325</v>
      </c>
      <c r="H30" s="48">
        <v>0.53276000000000001</v>
      </c>
      <c r="I30" s="49"/>
      <c r="J30" s="51"/>
      <c r="M30" s="80"/>
      <c r="N30" s="96" t="s">
        <v>80</v>
      </c>
      <c r="O30" s="97" t="s">
        <v>81</v>
      </c>
      <c r="P30" s="98" t="s">
        <v>406</v>
      </c>
      <c r="Q30" s="110">
        <v>34</v>
      </c>
      <c r="R30" s="111">
        <v>15</v>
      </c>
      <c r="S30" s="111"/>
      <c r="T30" s="111"/>
    </row>
    <row r="31" spans="1:26" x14ac:dyDescent="0.25">
      <c r="M31" s="80"/>
      <c r="N31" s="99" t="s">
        <v>104</v>
      </c>
      <c r="O31" s="94" t="s">
        <v>105</v>
      </c>
      <c r="P31" s="222" t="s">
        <v>487</v>
      </c>
      <c r="Q31" s="110">
        <v>6</v>
      </c>
      <c r="R31" s="111">
        <v>3</v>
      </c>
      <c r="S31" s="111"/>
      <c r="T31" s="111"/>
    </row>
    <row r="32" spans="1:26" x14ac:dyDescent="0.25">
      <c r="M32" s="80"/>
      <c r="N32" s="90" t="s">
        <v>112</v>
      </c>
      <c r="O32" s="83" t="s">
        <v>113</v>
      </c>
      <c r="P32" s="223" t="s">
        <v>488</v>
      </c>
      <c r="Q32" s="110">
        <v>6</v>
      </c>
      <c r="R32" s="111">
        <v>6</v>
      </c>
      <c r="S32" s="111"/>
      <c r="T32" s="111"/>
    </row>
    <row r="33" spans="2:20" x14ac:dyDescent="0.25">
      <c r="B33" s="34"/>
      <c r="C33" s="34"/>
      <c r="D33" s="34"/>
      <c r="G33" s="34"/>
      <c r="H33" s="34"/>
      <c r="M33" s="80"/>
      <c r="N33" s="92"/>
      <c r="O33" s="86"/>
      <c r="P33" s="224" t="s">
        <v>489</v>
      </c>
      <c r="Q33" s="110">
        <v>1</v>
      </c>
      <c r="R33" s="111">
        <v>0</v>
      </c>
      <c r="S33" s="111"/>
      <c r="T33" s="111"/>
    </row>
    <row r="34" spans="2:20" x14ac:dyDescent="0.25">
      <c r="B34" s="34"/>
      <c r="C34" s="34"/>
      <c r="D34" s="34"/>
      <c r="G34" s="34"/>
      <c r="H34" s="34"/>
      <c r="M34" s="80"/>
      <c r="N34" s="92"/>
      <c r="O34" s="86"/>
      <c r="P34" s="224" t="s">
        <v>490</v>
      </c>
      <c r="Q34" s="110">
        <v>1</v>
      </c>
      <c r="R34" s="111">
        <v>0</v>
      </c>
      <c r="S34" s="111"/>
      <c r="T34" s="111"/>
    </row>
    <row r="35" spans="2:20" x14ac:dyDescent="0.25">
      <c r="B35" s="34"/>
      <c r="C35" s="34"/>
      <c r="D35" s="36"/>
      <c r="G35" s="34"/>
      <c r="H35" s="34"/>
      <c r="M35" s="80"/>
      <c r="N35" s="92"/>
      <c r="O35" s="86"/>
      <c r="P35" s="225" t="s">
        <v>491</v>
      </c>
      <c r="Q35" s="110">
        <v>1</v>
      </c>
      <c r="R35" s="111">
        <v>0</v>
      </c>
      <c r="S35" s="111"/>
      <c r="T35" s="111"/>
    </row>
    <row r="36" spans="2:20" x14ac:dyDescent="0.25">
      <c r="B36" s="34"/>
      <c r="C36" s="34"/>
      <c r="G36" s="34"/>
      <c r="H36" s="34"/>
      <c r="M36" s="80"/>
      <c r="N36" s="92"/>
      <c r="O36" s="86"/>
      <c r="P36" s="98" t="s">
        <v>407</v>
      </c>
      <c r="Q36" s="110">
        <v>4</v>
      </c>
      <c r="R36" s="111">
        <v>4</v>
      </c>
      <c r="S36" s="111"/>
      <c r="T36" s="111"/>
    </row>
    <row r="37" spans="2:20" x14ac:dyDescent="0.25">
      <c r="B37" s="34"/>
      <c r="C37" s="34"/>
      <c r="G37" s="34"/>
      <c r="H37" s="34"/>
      <c r="M37" s="80"/>
      <c r="N37" s="92"/>
      <c r="O37" s="83" t="s">
        <v>127</v>
      </c>
      <c r="P37" s="223" t="s">
        <v>492</v>
      </c>
      <c r="Q37" s="110">
        <v>2</v>
      </c>
      <c r="R37" s="111">
        <v>0</v>
      </c>
      <c r="S37" s="111"/>
      <c r="T37" s="111"/>
    </row>
    <row r="38" spans="2:20" x14ac:dyDescent="0.25">
      <c r="B38" s="34"/>
      <c r="C38" s="34"/>
      <c r="G38" s="34"/>
      <c r="H38" s="34"/>
      <c r="M38" s="80"/>
      <c r="N38" s="92"/>
      <c r="O38" s="86"/>
      <c r="P38" s="224" t="s">
        <v>493</v>
      </c>
      <c r="Q38" s="110">
        <v>2</v>
      </c>
      <c r="R38" s="111">
        <v>0</v>
      </c>
      <c r="S38" s="111"/>
      <c r="T38" s="111"/>
    </row>
    <row r="39" spans="2:20" x14ac:dyDescent="0.25">
      <c r="B39" s="34"/>
      <c r="C39" s="34"/>
      <c r="G39" s="34"/>
      <c r="H39" s="34"/>
      <c r="M39" s="80"/>
      <c r="N39" s="92"/>
      <c r="O39" s="86"/>
      <c r="P39" s="225" t="s">
        <v>494</v>
      </c>
      <c r="Q39" s="110">
        <v>3</v>
      </c>
      <c r="R39" s="111">
        <v>0</v>
      </c>
      <c r="S39" s="111"/>
      <c r="T39" s="111"/>
    </row>
    <row r="40" spans="2:20" x14ac:dyDescent="0.25">
      <c r="B40" s="34"/>
      <c r="C40" s="34"/>
      <c r="G40" s="34"/>
      <c r="H40" s="34"/>
      <c r="M40" s="80"/>
      <c r="N40" s="92"/>
      <c r="O40" s="86"/>
      <c r="P40" s="224" t="s">
        <v>495</v>
      </c>
      <c r="Q40" s="110">
        <v>3</v>
      </c>
      <c r="R40" s="111">
        <v>0</v>
      </c>
      <c r="S40" s="111"/>
      <c r="T40" s="111"/>
    </row>
    <row r="41" spans="2:20" x14ac:dyDescent="0.25">
      <c r="B41" s="34"/>
      <c r="C41" s="34"/>
      <c r="G41" s="34"/>
      <c r="H41" s="34"/>
      <c r="M41" s="80"/>
      <c r="N41" s="92"/>
      <c r="O41" s="86"/>
      <c r="P41" s="98" t="s">
        <v>408</v>
      </c>
      <c r="Q41" s="110">
        <v>6</v>
      </c>
      <c r="R41" s="111">
        <v>1</v>
      </c>
      <c r="S41" s="111"/>
      <c r="T41" s="111"/>
    </row>
    <row r="42" spans="2:20" x14ac:dyDescent="0.25">
      <c r="B42" s="34"/>
      <c r="C42" s="34"/>
      <c r="G42" s="34"/>
      <c r="H42" s="34"/>
      <c r="M42" s="80"/>
      <c r="N42" s="92"/>
      <c r="O42" s="86"/>
      <c r="P42" s="98" t="s">
        <v>409</v>
      </c>
      <c r="Q42" s="110">
        <v>2</v>
      </c>
      <c r="R42" s="111">
        <v>0</v>
      </c>
      <c r="S42" s="111"/>
      <c r="T42" s="111"/>
    </row>
    <row r="43" spans="2:20" x14ac:dyDescent="0.25">
      <c r="B43" s="34"/>
      <c r="C43" s="34"/>
      <c r="G43" s="34"/>
      <c r="H43" s="34"/>
      <c r="M43" s="80"/>
      <c r="N43" s="92"/>
      <c r="O43" s="86"/>
      <c r="P43" s="98" t="s">
        <v>410</v>
      </c>
      <c r="Q43" s="110">
        <v>1</v>
      </c>
      <c r="R43" s="111">
        <v>0</v>
      </c>
      <c r="S43" s="111"/>
      <c r="T43" s="111"/>
    </row>
    <row r="44" spans="2:20" x14ac:dyDescent="0.25">
      <c r="B44" s="34"/>
      <c r="C44" s="34"/>
      <c r="G44" s="34"/>
      <c r="H44" s="34"/>
      <c r="M44" s="80"/>
      <c r="N44" s="92"/>
      <c r="O44" s="88"/>
      <c r="P44" s="98" t="s">
        <v>411</v>
      </c>
      <c r="Q44" s="110">
        <v>2</v>
      </c>
      <c r="R44" s="111">
        <v>0</v>
      </c>
      <c r="S44" s="111"/>
      <c r="T44" s="111"/>
    </row>
    <row r="45" spans="2:20" x14ac:dyDescent="0.25">
      <c r="B45" s="34"/>
      <c r="C45" s="34"/>
      <c r="G45" s="34"/>
      <c r="H45" s="34"/>
      <c r="M45" s="80"/>
      <c r="N45" s="92"/>
      <c r="O45" s="84" t="s">
        <v>136</v>
      </c>
      <c r="P45" s="224" t="s">
        <v>496</v>
      </c>
      <c r="Q45" s="110">
        <v>2</v>
      </c>
      <c r="R45" s="111">
        <v>0</v>
      </c>
      <c r="S45" s="111"/>
      <c r="T45" s="111"/>
    </row>
    <row r="46" spans="2:20" x14ac:dyDescent="0.25">
      <c r="B46" s="34"/>
      <c r="C46" s="34"/>
      <c r="G46" s="34"/>
      <c r="H46" s="34"/>
      <c r="M46" s="80"/>
      <c r="N46" s="92"/>
      <c r="O46" s="86"/>
      <c r="P46" s="225" t="s">
        <v>497</v>
      </c>
      <c r="Q46" s="110">
        <v>4</v>
      </c>
      <c r="R46" s="111">
        <v>0</v>
      </c>
      <c r="S46" s="111"/>
      <c r="T46" s="111"/>
    </row>
    <row r="47" spans="2:20" x14ac:dyDescent="0.25">
      <c r="B47" s="34"/>
      <c r="C47" s="34"/>
      <c r="G47" s="34"/>
      <c r="H47" s="34"/>
      <c r="M47" s="80"/>
      <c r="N47" s="92"/>
      <c r="O47" s="83" t="s">
        <v>139</v>
      </c>
      <c r="P47" s="224" t="s">
        <v>498</v>
      </c>
      <c r="Q47" s="110">
        <v>1</v>
      </c>
      <c r="R47" s="111">
        <v>0</v>
      </c>
      <c r="S47" s="111"/>
      <c r="T47" s="111"/>
    </row>
    <row r="48" spans="2:20" x14ac:dyDescent="0.25">
      <c r="B48" s="34"/>
      <c r="C48" s="34"/>
      <c r="G48" s="34"/>
      <c r="H48" s="36"/>
      <c r="M48" s="80"/>
      <c r="N48" s="92"/>
      <c r="O48" s="86"/>
      <c r="P48" s="224" t="s">
        <v>499</v>
      </c>
      <c r="Q48" s="110">
        <v>5</v>
      </c>
      <c r="R48" s="111">
        <v>0</v>
      </c>
      <c r="S48" s="111"/>
      <c r="T48" s="111"/>
    </row>
    <row r="49" spans="2:20" x14ac:dyDescent="0.25">
      <c r="B49" s="34"/>
      <c r="C49" s="34"/>
      <c r="G49" s="34"/>
      <c r="H49" s="34"/>
      <c r="M49" s="80"/>
      <c r="N49" s="92"/>
      <c r="O49" s="86"/>
      <c r="P49" s="224" t="s">
        <v>500</v>
      </c>
      <c r="Q49" s="110">
        <v>10</v>
      </c>
      <c r="R49" s="111">
        <v>7</v>
      </c>
      <c r="S49" s="111"/>
      <c r="T49" s="111"/>
    </row>
    <row r="50" spans="2:20" x14ac:dyDescent="0.25">
      <c r="B50" s="34"/>
      <c r="C50" s="34"/>
      <c r="G50" s="34"/>
      <c r="H50" s="34"/>
      <c r="M50" s="80"/>
      <c r="N50" s="92"/>
      <c r="O50" s="86"/>
      <c r="P50" s="225" t="s">
        <v>501</v>
      </c>
      <c r="Q50" s="118">
        <v>2</v>
      </c>
      <c r="R50" s="119">
        <v>1</v>
      </c>
      <c r="S50" s="111"/>
      <c r="T50" s="111"/>
    </row>
    <row r="51" spans="2:20" x14ac:dyDescent="0.25">
      <c r="B51" s="34"/>
      <c r="C51" s="34"/>
      <c r="G51" s="34"/>
      <c r="H51" s="34"/>
      <c r="N51" s="92"/>
      <c r="O51" s="86"/>
      <c r="P51" s="227" t="s">
        <v>502</v>
      </c>
      <c r="Q51" s="120">
        <v>0</v>
      </c>
      <c r="R51" s="119">
        <v>1</v>
      </c>
      <c r="S51" s="119"/>
      <c r="T51" s="119"/>
    </row>
    <row r="52" spans="2:20" x14ac:dyDescent="0.25">
      <c r="B52" s="34"/>
      <c r="C52" s="34"/>
      <c r="G52" s="34"/>
      <c r="H52" s="34"/>
      <c r="N52" s="93"/>
      <c r="O52" s="88"/>
      <c r="P52" s="97" t="s">
        <v>412</v>
      </c>
      <c r="Q52" s="120">
        <v>10</v>
      </c>
      <c r="R52" s="119">
        <v>2</v>
      </c>
      <c r="S52" s="119"/>
      <c r="T52" s="119"/>
    </row>
    <row r="53" spans="2:20" x14ac:dyDescent="0.25">
      <c r="B53" s="34"/>
      <c r="C53" s="34"/>
      <c r="G53" s="34"/>
      <c r="H53" s="34"/>
      <c r="M53" s="80"/>
      <c r="N53" s="101" t="s">
        <v>153</v>
      </c>
      <c r="O53" s="84" t="s">
        <v>154</v>
      </c>
      <c r="P53" s="225" t="s">
        <v>503</v>
      </c>
      <c r="Q53" s="118">
        <v>1</v>
      </c>
      <c r="R53" s="119">
        <v>3</v>
      </c>
      <c r="S53" s="119"/>
      <c r="T53" s="119"/>
    </row>
    <row r="54" spans="2:20" x14ac:dyDescent="0.25">
      <c r="B54" s="34"/>
      <c r="C54" s="34"/>
      <c r="G54" s="34"/>
      <c r="H54" s="34"/>
      <c r="M54" s="80"/>
      <c r="N54" s="92"/>
      <c r="O54" s="86"/>
      <c r="P54" s="224" t="s">
        <v>504</v>
      </c>
      <c r="Q54" s="118">
        <v>1</v>
      </c>
      <c r="R54" s="119">
        <v>3</v>
      </c>
      <c r="S54" s="119"/>
      <c r="T54" s="119"/>
    </row>
    <row r="55" spans="2:20" x14ac:dyDescent="0.25">
      <c r="B55" s="34"/>
      <c r="C55" s="34"/>
      <c r="G55" s="34"/>
      <c r="H55" s="34"/>
      <c r="M55" s="80"/>
      <c r="N55" s="92"/>
      <c r="O55" s="83" t="s">
        <v>270</v>
      </c>
      <c r="P55" s="97" t="s">
        <v>413</v>
      </c>
      <c r="Q55" s="110">
        <v>0</v>
      </c>
      <c r="R55" s="111">
        <v>1</v>
      </c>
      <c r="S55" s="119"/>
      <c r="T55" s="119"/>
    </row>
    <row r="56" spans="2:20" x14ac:dyDescent="0.25">
      <c r="B56" s="34"/>
      <c r="C56" s="36"/>
      <c r="G56" s="34"/>
      <c r="H56" s="34"/>
      <c r="M56" s="91" t="s">
        <v>332</v>
      </c>
      <c r="N56" s="105"/>
      <c r="O56" s="105"/>
      <c r="P56" s="97" t="s">
        <v>414</v>
      </c>
      <c r="Q56" s="112">
        <v>0</v>
      </c>
      <c r="R56" s="113">
        <v>2</v>
      </c>
      <c r="S56" s="111"/>
      <c r="T56" s="111"/>
    </row>
    <row r="57" spans="2:20" x14ac:dyDescent="0.25">
      <c r="B57" s="34"/>
      <c r="C57" s="34"/>
      <c r="G57" s="34"/>
      <c r="H57" s="34"/>
      <c r="M57" s="87"/>
      <c r="N57" s="88"/>
      <c r="O57" s="88"/>
      <c r="P57" s="97" t="s">
        <v>415</v>
      </c>
      <c r="Q57" s="114">
        <v>2</v>
      </c>
      <c r="R57" s="115">
        <v>1</v>
      </c>
      <c r="S57" s="111"/>
      <c r="T57" s="111"/>
    </row>
    <row r="58" spans="2:20" x14ac:dyDescent="0.25">
      <c r="B58" s="34"/>
      <c r="C58" s="34"/>
      <c r="G58" s="34"/>
      <c r="H58" s="34"/>
      <c r="M58" s="82" t="s">
        <v>333</v>
      </c>
      <c r="O58" s="94" t="s">
        <v>271</v>
      </c>
      <c r="P58" s="97" t="s">
        <v>416</v>
      </c>
      <c r="Q58" s="112">
        <v>2</v>
      </c>
      <c r="R58" s="113">
        <v>0</v>
      </c>
      <c r="S58" s="111"/>
      <c r="T58" s="111"/>
    </row>
    <row r="59" spans="2:20" x14ac:dyDescent="0.25">
      <c r="B59" s="36"/>
      <c r="C59" s="34"/>
      <c r="G59" s="34"/>
      <c r="H59" s="34"/>
      <c r="M59" s="80"/>
      <c r="N59" s="90" t="s">
        <v>163</v>
      </c>
      <c r="O59" s="97" t="s">
        <v>164</v>
      </c>
      <c r="P59" s="97" t="s">
        <v>417</v>
      </c>
      <c r="Q59" s="110">
        <v>4</v>
      </c>
      <c r="R59" s="111">
        <v>4</v>
      </c>
      <c r="S59" s="111"/>
      <c r="T59" s="111"/>
    </row>
    <row r="60" spans="2:20" x14ac:dyDescent="0.25">
      <c r="B60" s="34"/>
      <c r="C60" s="34"/>
      <c r="G60" s="34"/>
      <c r="H60" s="34"/>
      <c r="M60" s="80"/>
      <c r="N60" s="93"/>
      <c r="O60" s="94" t="s">
        <v>168</v>
      </c>
      <c r="P60" s="97" t="s">
        <v>418</v>
      </c>
      <c r="Q60" s="110">
        <v>2</v>
      </c>
      <c r="R60" s="111">
        <v>4</v>
      </c>
      <c r="S60" s="111"/>
      <c r="T60" s="111"/>
    </row>
    <row r="61" spans="2:20" x14ac:dyDescent="0.25">
      <c r="B61" s="34"/>
      <c r="C61" s="34"/>
      <c r="G61" s="34"/>
      <c r="H61" s="34"/>
      <c r="M61" s="102"/>
      <c r="N61" s="95" t="s">
        <v>170</v>
      </c>
      <c r="O61" s="94" t="s">
        <v>171</v>
      </c>
      <c r="P61" s="97" t="s">
        <v>419</v>
      </c>
      <c r="Q61" s="114">
        <v>4</v>
      </c>
      <c r="R61" s="115">
        <v>1</v>
      </c>
      <c r="S61" s="111"/>
      <c r="T61" s="111"/>
    </row>
    <row r="62" spans="2:20" x14ac:dyDescent="0.25">
      <c r="B62" s="34"/>
      <c r="C62" s="34"/>
      <c r="G62" s="34"/>
      <c r="H62" s="34"/>
      <c r="Q62" s="204">
        <f>SUM(Q3:Q61)</f>
        <v>186</v>
      </c>
      <c r="R62" s="204">
        <f>SUM(R3:R61)</f>
        <v>87</v>
      </c>
      <c r="S62" s="111"/>
      <c r="T62" s="111"/>
    </row>
    <row r="63" spans="2:20" x14ac:dyDescent="0.25">
      <c r="B63" s="34"/>
      <c r="C63" s="36"/>
      <c r="G63" s="34"/>
      <c r="H63" s="34"/>
      <c r="Q63" s="204"/>
      <c r="R63" s="204"/>
      <c r="S63" s="69"/>
      <c r="T63" s="69"/>
    </row>
    <row r="64" spans="2:20" x14ac:dyDescent="0.25">
      <c r="B64" s="34"/>
      <c r="C64" s="34"/>
      <c r="G64" s="34"/>
      <c r="H64" s="34"/>
    </row>
    <row r="65" spans="2:20" x14ac:dyDescent="0.25">
      <c r="B65" s="34"/>
      <c r="C65" s="34"/>
      <c r="G65" s="34"/>
      <c r="H65" s="34"/>
    </row>
    <row r="66" spans="2:20" x14ac:dyDescent="0.25">
      <c r="B66" s="36"/>
      <c r="C66" s="34"/>
      <c r="G66" s="34"/>
      <c r="H66" s="34"/>
    </row>
    <row r="67" spans="2:20" x14ac:dyDescent="0.25">
      <c r="B67" s="34"/>
      <c r="C67" s="34"/>
      <c r="G67" s="34"/>
      <c r="H67" s="34"/>
    </row>
    <row r="68" spans="2:20" x14ac:dyDescent="0.25">
      <c r="B68" s="34"/>
      <c r="C68" s="34"/>
      <c r="H68" s="34"/>
      <c r="S68" s="70"/>
      <c r="T68" s="70"/>
    </row>
    <row r="69" spans="2:20" x14ac:dyDescent="0.25">
      <c r="B69" s="34"/>
      <c r="C69" s="34"/>
      <c r="H69" s="34"/>
      <c r="S69" s="117"/>
      <c r="T69" s="117"/>
    </row>
    <row r="70" spans="2:20" x14ac:dyDescent="0.25">
      <c r="B70" s="34"/>
      <c r="C70" s="34"/>
      <c r="H70" s="34"/>
      <c r="S70" s="117"/>
      <c r="T70" s="117"/>
    </row>
    <row r="71" spans="2:20" x14ac:dyDescent="0.25">
      <c r="B71" s="34"/>
      <c r="C71" s="34"/>
      <c r="H71" s="36"/>
      <c r="S71" s="117"/>
      <c r="T71" s="117"/>
    </row>
    <row r="72" spans="2:20" x14ac:dyDescent="0.25">
      <c r="B72" s="34"/>
      <c r="C72" s="34"/>
      <c r="H72" s="36"/>
      <c r="S72" s="117"/>
      <c r="T72" s="117"/>
    </row>
    <row r="73" spans="2:20" x14ac:dyDescent="0.25">
      <c r="B73" s="34"/>
      <c r="C73" s="34"/>
      <c r="H73" s="36"/>
      <c r="S73" s="117"/>
      <c r="T73" s="117"/>
    </row>
    <row r="74" spans="2:20" x14ac:dyDescent="0.25">
      <c r="B74" s="34"/>
      <c r="C74" s="34"/>
      <c r="H74" s="34"/>
      <c r="S74" s="117"/>
      <c r="T74" s="117"/>
    </row>
    <row r="75" spans="2:20" x14ac:dyDescent="0.25">
      <c r="B75" s="34"/>
      <c r="C75" s="34"/>
      <c r="H75" s="34"/>
      <c r="S75" s="117"/>
      <c r="T75" s="117"/>
    </row>
    <row r="76" spans="2:20" x14ac:dyDescent="0.25">
      <c r="B76" s="34"/>
      <c r="C76" s="34"/>
      <c r="H76" s="34"/>
      <c r="S76" s="117"/>
      <c r="T76" s="117"/>
    </row>
    <row r="77" spans="2:20" x14ac:dyDescent="0.25">
      <c r="B77" s="34"/>
      <c r="C77" s="34"/>
      <c r="H77" s="34"/>
      <c r="S77" s="117"/>
      <c r="T77" s="117"/>
    </row>
    <row r="78" spans="2:20" x14ac:dyDescent="0.25">
      <c r="B78" s="34"/>
      <c r="C78" s="34"/>
      <c r="H78" s="34"/>
      <c r="S78" s="117"/>
      <c r="T78" s="117"/>
    </row>
    <row r="79" spans="2:20" x14ac:dyDescent="0.25">
      <c r="B79" s="34"/>
      <c r="C79" s="34"/>
      <c r="H79" s="34"/>
      <c r="S79" s="117"/>
      <c r="T79" s="117"/>
    </row>
    <row r="80" spans="2:20" x14ac:dyDescent="0.25">
      <c r="B80" s="34"/>
      <c r="C80" s="34"/>
      <c r="H80" s="34"/>
      <c r="S80" s="117"/>
      <c r="T80" s="117"/>
    </row>
    <row r="81" spans="2:20" x14ac:dyDescent="0.25">
      <c r="B81" s="34"/>
      <c r="C81" s="34"/>
      <c r="H81" s="34"/>
      <c r="S81" s="117"/>
      <c r="T81" s="117"/>
    </row>
    <row r="82" spans="2:20" x14ac:dyDescent="0.25">
      <c r="B82" s="34"/>
      <c r="C82" s="34"/>
      <c r="H82" s="34"/>
      <c r="S82" s="117"/>
      <c r="T82" s="117"/>
    </row>
    <row r="83" spans="2:20" x14ac:dyDescent="0.25">
      <c r="B83" s="34"/>
      <c r="C83" s="34"/>
      <c r="H83" s="34"/>
      <c r="S83" s="117"/>
      <c r="T83" s="117"/>
    </row>
    <row r="84" spans="2:20" x14ac:dyDescent="0.25">
      <c r="B84" s="34"/>
      <c r="C84" s="34"/>
      <c r="H84" s="34"/>
      <c r="S84" s="117"/>
      <c r="T84" s="117"/>
    </row>
    <row r="85" spans="2:20" x14ac:dyDescent="0.25">
      <c r="B85" s="34"/>
      <c r="C85" s="34"/>
      <c r="H85" s="34"/>
      <c r="S85" s="117"/>
      <c r="T85" s="117"/>
    </row>
    <row r="86" spans="2:20" x14ac:dyDescent="0.25">
      <c r="B86" s="34"/>
      <c r="C86" s="34"/>
      <c r="H86" s="36"/>
      <c r="S86" s="117"/>
      <c r="T86" s="117"/>
    </row>
    <row r="87" spans="2:20" x14ac:dyDescent="0.25">
      <c r="B87" s="34"/>
      <c r="C87" s="34"/>
      <c r="H87" s="36"/>
    </row>
    <row r="88" spans="2:20" x14ac:dyDescent="0.25">
      <c r="B88" s="34"/>
      <c r="C88" s="36"/>
      <c r="H88" s="34"/>
    </row>
    <row r="89" spans="2:20" x14ac:dyDescent="0.25">
      <c r="B89" s="34"/>
      <c r="H89" s="36"/>
    </row>
    <row r="90" spans="2:20" x14ac:dyDescent="0.25">
      <c r="B90" s="34"/>
      <c r="H90" s="34"/>
    </row>
    <row r="91" spans="2:20" x14ac:dyDescent="0.25">
      <c r="H91" s="34"/>
    </row>
    <row r="92" spans="2:20" x14ac:dyDescent="0.25">
      <c r="H92" s="34"/>
    </row>
    <row r="93" spans="2:20" x14ac:dyDescent="0.25">
      <c r="H93" s="34"/>
    </row>
    <row r="94" spans="2:20" x14ac:dyDescent="0.25">
      <c r="H94" s="34"/>
    </row>
    <row r="95" spans="2:20" x14ac:dyDescent="0.25">
      <c r="H95" s="34"/>
    </row>
    <row r="96" spans="2:20" x14ac:dyDescent="0.25">
      <c r="H96" s="34"/>
    </row>
    <row r="97" spans="8:8" x14ac:dyDescent="0.25">
      <c r="H97" s="34"/>
    </row>
    <row r="98" spans="8:8" x14ac:dyDescent="0.25">
      <c r="H98" s="34"/>
    </row>
    <row r="99" spans="8:8" x14ac:dyDescent="0.25">
      <c r="H99" s="34"/>
    </row>
    <row r="100" spans="8:8" x14ac:dyDescent="0.25">
      <c r="H100" s="34"/>
    </row>
    <row r="101" spans="8:8" x14ac:dyDescent="0.25">
      <c r="H101" s="34"/>
    </row>
    <row r="102" spans="8:8" x14ac:dyDescent="0.25">
      <c r="H102" s="34"/>
    </row>
    <row r="103" spans="8:8" x14ac:dyDescent="0.25">
      <c r="H103" s="34"/>
    </row>
    <row r="104" spans="8:8" x14ac:dyDescent="0.25">
      <c r="H104" s="34"/>
    </row>
    <row r="105" spans="8:8" x14ac:dyDescent="0.25">
      <c r="H105" s="34"/>
    </row>
    <row r="106" spans="8:8" x14ac:dyDescent="0.25">
      <c r="H106" s="34"/>
    </row>
    <row r="107" spans="8:8" x14ac:dyDescent="0.25">
      <c r="H107" s="34"/>
    </row>
    <row r="108" spans="8:8" x14ac:dyDescent="0.25">
      <c r="H108" s="34"/>
    </row>
    <row r="109" spans="8:8" x14ac:dyDescent="0.25">
      <c r="H109" s="34"/>
    </row>
    <row r="110" spans="8:8" x14ac:dyDescent="0.25">
      <c r="H110" s="34"/>
    </row>
    <row r="111" spans="8:8" x14ac:dyDescent="0.25">
      <c r="H111" s="34"/>
    </row>
    <row r="112" spans="8:8" x14ac:dyDescent="0.25">
      <c r="H112" s="34"/>
    </row>
    <row r="113" spans="8:18" x14ac:dyDescent="0.25">
      <c r="H113" s="34"/>
    </row>
    <row r="114" spans="8:18" x14ac:dyDescent="0.25">
      <c r="H114" s="34"/>
    </row>
    <row r="115" spans="8:18" x14ac:dyDescent="0.25">
      <c r="H115" s="34"/>
    </row>
    <row r="116" spans="8:18" x14ac:dyDescent="0.25">
      <c r="H116" s="34"/>
    </row>
    <row r="117" spans="8:18" x14ac:dyDescent="0.25">
      <c r="H117" s="34"/>
    </row>
    <row r="118" spans="8:18" x14ac:dyDescent="0.25">
      <c r="H118" s="34"/>
    </row>
    <row r="119" spans="8:18" x14ac:dyDescent="0.25">
      <c r="H119" s="34"/>
    </row>
    <row r="120" spans="8:18" x14ac:dyDescent="0.25">
      <c r="H120" s="34"/>
    </row>
    <row r="121" spans="8:18" x14ac:dyDescent="0.25">
      <c r="H121" s="34"/>
    </row>
    <row r="122" spans="8:18" x14ac:dyDescent="0.25">
      <c r="H122" s="34"/>
    </row>
    <row r="123" spans="8:18" x14ac:dyDescent="0.25">
      <c r="H123" s="34"/>
    </row>
    <row r="124" spans="8:18" x14ac:dyDescent="0.25">
      <c r="H124" s="34"/>
    </row>
    <row r="125" spans="8:18" x14ac:dyDescent="0.25">
      <c r="H125" s="34"/>
      <c r="Q125" s="69"/>
      <c r="R125" s="69"/>
    </row>
    <row r="126" spans="8:18" x14ac:dyDescent="0.25">
      <c r="H126" s="34"/>
    </row>
    <row r="127" spans="8:18" x14ac:dyDescent="0.25">
      <c r="H127" s="34"/>
    </row>
    <row r="128" spans="8:18" x14ac:dyDescent="0.25">
      <c r="H128" s="34"/>
    </row>
    <row r="129" spans="8:8" x14ac:dyDescent="0.25">
      <c r="H129" s="34"/>
    </row>
    <row r="130" spans="8:8" x14ac:dyDescent="0.25">
      <c r="H130" s="34"/>
    </row>
    <row r="131" spans="8:8" x14ac:dyDescent="0.25">
      <c r="H131" s="34"/>
    </row>
    <row r="132" spans="8:8" x14ac:dyDescent="0.25">
      <c r="H132" s="34"/>
    </row>
    <row r="133" spans="8:8" x14ac:dyDescent="0.25">
      <c r="H133" s="34"/>
    </row>
    <row r="134" spans="8:8" x14ac:dyDescent="0.25">
      <c r="H134" s="34"/>
    </row>
    <row r="135" spans="8:8" x14ac:dyDescent="0.25">
      <c r="H135" s="34"/>
    </row>
    <row r="136" spans="8:8" x14ac:dyDescent="0.25">
      <c r="H136" s="34"/>
    </row>
    <row r="137" spans="8:8" x14ac:dyDescent="0.25">
      <c r="H137" s="34"/>
    </row>
    <row r="138" spans="8:8" x14ac:dyDescent="0.25">
      <c r="H138" s="34"/>
    </row>
    <row r="139" spans="8:8" x14ac:dyDescent="0.25">
      <c r="H139" s="34"/>
    </row>
    <row r="140" spans="8:8" x14ac:dyDescent="0.25">
      <c r="H140" s="34"/>
    </row>
    <row r="141" spans="8:8" x14ac:dyDescent="0.25">
      <c r="H141" s="34"/>
    </row>
    <row r="142" spans="8:8" x14ac:dyDescent="0.25">
      <c r="H142" s="34"/>
    </row>
    <row r="143" spans="8:8" x14ac:dyDescent="0.25">
      <c r="H143" s="34"/>
    </row>
    <row r="144" spans="8:8" x14ac:dyDescent="0.25">
      <c r="H144" s="34"/>
    </row>
    <row r="145" spans="8:8" x14ac:dyDescent="0.25">
      <c r="H145" s="34"/>
    </row>
    <row r="146" spans="8:8" x14ac:dyDescent="0.25">
      <c r="H146" s="34"/>
    </row>
    <row r="147" spans="8:8" x14ac:dyDescent="0.25">
      <c r="H147" s="34"/>
    </row>
    <row r="148" spans="8:8" x14ac:dyDescent="0.25">
      <c r="H148" s="34"/>
    </row>
    <row r="149" spans="8:8" x14ac:dyDescent="0.25">
      <c r="H149" s="34"/>
    </row>
    <row r="150" spans="8:8" x14ac:dyDescent="0.25">
      <c r="H150" s="34"/>
    </row>
    <row r="176" spans="8:8" x14ac:dyDescent="0.25">
      <c r="H176" s="34"/>
    </row>
    <row r="177" spans="8:8" x14ac:dyDescent="0.25">
      <c r="H177" s="34"/>
    </row>
    <row r="178" spans="8:8" x14ac:dyDescent="0.25">
      <c r="H178" s="34"/>
    </row>
    <row r="179" spans="8:8" x14ac:dyDescent="0.25">
      <c r="H179" s="34"/>
    </row>
    <row r="180" spans="8:8" x14ac:dyDescent="0.25">
      <c r="H180" s="3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6"/>
  <sheetViews>
    <sheetView zoomScale="80" zoomScaleNormal="80" workbookViewId="0">
      <selection activeCell="J19" sqref="J19"/>
    </sheetView>
  </sheetViews>
  <sheetFormatPr baseColWidth="10" defaultColWidth="10.85546875" defaultRowHeight="15" x14ac:dyDescent="0.25"/>
  <cols>
    <col min="1" max="1" width="18.85546875" style="52" customWidth="1"/>
    <col min="2" max="5" width="10.85546875" style="53"/>
    <col min="6" max="6" width="5.5703125" style="53" customWidth="1"/>
    <col min="7" max="8" width="10.85546875" style="53"/>
    <col min="9" max="9" width="10.85546875" style="52"/>
    <col min="10" max="10" width="10.85546875" style="52" customWidth="1"/>
    <col min="11" max="16384" width="10.85546875" style="52"/>
  </cols>
  <sheetData>
    <row r="1" spans="1:10" x14ac:dyDescent="0.25">
      <c r="B1" s="53" t="s">
        <v>316</v>
      </c>
      <c r="C1" s="53" t="s">
        <v>318</v>
      </c>
      <c r="F1" s="52"/>
      <c r="G1" s="53" t="s">
        <v>317</v>
      </c>
      <c r="H1" s="53" t="s">
        <v>319</v>
      </c>
    </row>
    <row r="2" spans="1:10" x14ac:dyDescent="0.25">
      <c r="A2" s="188" t="s">
        <v>24</v>
      </c>
      <c r="B2" s="53">
        <v>0</v>
      </c>
      <c r="C2" s="53">
        <v>3</v>
      </c>
      <c r="F2" s="52"/>
      <c r="G2" s="53">
        <v>1</v>
      </c>
      <c r="H2" s="53">
        <v>2</v>
      </c>
      <c r="J2" s="214">
        <f>(B2+C2+G2+H2)</f>
        <v>6</v>
      </c>
    </row>
    <row r="3" spans="1:10" x14ac:dyDescent="0.25">
      <c r="A3" s="189" t="s">
        <v>271</v>
      </c>
      <c r="B3" s="197">
        <v>0</v>
      </c>
      <c r="C3" s="197">
        <v>0</v>
      </c>
      <c r="F3" s="52"/>
      <c r="G3" s="53">
        <v>2</v>
      </c>
      <c r="H3" s="53">
        <v>0</v>
      </c>
      <c r="J3" s="214">
        <f t="shared" ref="J3:J34" si="0">(B3+C3+G3+H3)</f>
        <v>2</v>
      </c>
    </row>
    <row r="4" spans="1:10" x14ac:dyDescent="0.25">
      <c r="A4" s="190" t="s">
        <v>220</v>
      </c>
      <c r="B4" s="53">
        <v>0</v>
      </c>
      <c r="C4" s="53">
        <v>1</v>
      </c>
      <c r="F4" s="52"/>
      <c r="G4" s="53">
        <v>1</v>
      </c>
      <c r="H4" s="53">
        <v>3</v>
      </c>
      <c r="J4" s="214">
        <f t="shared" si="0"/>
        <v>5</v>
      </c>
    </row>
    <row r="5" spans="1:10" x14ac:dyDescent="0.25">
      <c r="A5" s="188" t="s">
        <v>270</v>
      </c>
      <c r="B5" s="53">
        <v>0</v>
      </c>
      <c r="C5" s="53">
        <v>1</v>
      </c>
      <c r="F5" s="52"/>
      <c r="G5" s="197">
        <v>0</v>
      </c>
      <c r="H5" s="197">
        <v>0</v>
      </c>
      <c r="J5" s="214">
        <f t="shared" si="0"/>
        <v>1</v>
      </c>
    </row>
    <row r="6" spans="1:10" x14ac:dyDescent="0.25">
      <c r="A6" s="188" t="s">
        <v>249</v>
      </c>
      <c r="B6" s="197">
        <v>0</v>
      </c>
      <c r="C6" s="197">
        <v>0</v>
      </c>
      <c r="F6" s="52"/>
      <c r="G6" s="53">
        <v>1</v>
      </c>
      <c r="H6" s="53">
        <v>0</v>
      </c>
      <c r="J6" s="214">
        <f t="shared" si="0"/>
        <v>1</v>
      </c>
    </row>
    <row r="7" spans="1:10" x14ac:dyDescent="0.25">
      <c r="A7" s="68" t="s">
        <v>164</v>
      </c>
      <c r="B7" s="53">
        <v>3</v>
      </c>
      <c r="C7" s="53">
        <v>3</v>
      </c>
      <c r="F7" s="52"/>
      <c r="G7" s="53">
        <v>1</v>
      </c>
      <c r="H7" s="53">
        <v>1</v>
      </c>
      <c r="J7" s="214">
        <f t="shared" si="0"/>
        <v>8</v>
      </c>
    </row>
    <row r="8" spans="1:10" x14ac:dyDescent="0.25">
      <c r="A8" s="68" t="s">
        <v>329</v>
      </c>
      <c r="B8" s="197">
        <v>0</v>
      </c>
      <c r="C8" s="197">
        <v>0</v>
      </c>
      <c r="F8" s="52"/>
      <c r="G8" s="53">
        <v>0</v>
      </c>
      <c r="H8" s="53">
        <v>3</v>
      </c>
      <c r="J8" s="214">
        <f t="shared" si="0"/>
        <v>3</v>
      </c>
    </row>
    <row r="9" spans="1:10" x14ac:dyDescent="0.25">
      <c r="A9" s="188" t="s">
        <v>336</v>
      </c>
      <c r="B9" s="53">
        <v>18</v>
      </c>
      <c r="C9" s="53">
        <v>1</v>
      </c>
      <c r="F9" s="52"/>
      <c r="G9" s="53">
        <v>11</v>
      </c>
      <c r="H9" s="53">
        <v>3</v>
      </c>
      <c r="J9" s="214">
        <f t="shared" si="0"/>
        <v>33</v>
      </c>
    </row>
    <row r="10" spans="1:10" x14ac:dyDescent="0.25">
      <c r="A10" s="68" t="s">
        <v>127</v>
      </c>
      <c r="B10" s="53">
        <v>17</v>
      </c>
      <c r="C10" s="53">
        <v>1</v>
      </c>
      <c r="F10" s="52"/>
      <c r="G10" s="53">
        <v>4</v>
      </c>
      <c r="H10" s="53">
        <v>0</v>
      </c>
      <c r="J10" s="214">
        <f t="shared" si="0"/>
        <v>22</v>
      </c>
    </row>
    <row r="11" spans="1:10" x14ac:dyDescent="0.25">
      <c r="A11" s="68" t="s">
        <v>56</v>
      </c>
      <c r="B11" s="53">
        <v>0</v>
      </c>
      <c r="C11" s="53">
        <v>2</v>
      </c>
      <c r="F11" s="52"/>
      <c r="G11" s="53">
        <v>2</v>
      </c>
      <c r="H11" s="53">
        <v>1</v>
      </c>
      <c r="J11" s="214">
        <f t="shared" si="0"/>
        <v>5</v>
      </c>
    </row>
    <row r="12" spans="1:10" x14ac:dyDescent="0.25">
      <c r="A12" s="68" t="s">
        <v>177</v>
      </c>
      <c r="B12" s="53">
        <v>2</v>
      </c>
      <c r="C12" s="53">
        <v>1</v>
      </c>
      <c r="F12" s="52"/>
      <c r="G12" s="53">
        <v>9</v>
      </c>
      <c r="H12" s="53">
        <v>1</v>
      </c>
      <c r="J12" s="214">
        <f t="shared" si="0"/>
        <v>13</v>
      </c>
    </row>
    <row r="13" spans="1:10" x14ac:dyDescent="0.25">
      <c r="A13" s="188" t="s">
        <v>171</v>
      </c>
      <c r="B13" s="53">
        <v>3</v>
      </c>
      <c r="C13" s="53">
        <v>1</v>
      </c>
      <c r="F13" s="52"/>
      <c r="G13" s="53">
        <v>1</v>
      </c>
      <c r="H13" s="53">
        <v>0</v>
      </c>
      <c r="J13" s="214">
        <f t="shared" si="0"/>
        <v>5</v>
      </c>
    </row>
    <row r="14" spans="1:10" x14ac:dyDescent="0.25">
      <c r="A14" s="68" t="s">
        <v>191</v>
      </c>
      <c r="B14" s="53">
        <v>1</v>
      </c>
      <c r="C14" s="53">
        <v>4</v>
      </c>
      <c r="F14" s="52"/>
      <c r="G14" s="53">
        <v>6</v>
      </c>
      <c r="H14" s="53">
        <v>1</v>
      </c>
      <c r="J14" s="214">
        <f t="shared" si="0"/>
        <v>12</v>
      </c>
    </row>
    <row r="15" spans="1:10" x14ac:dyDescent="0.25">
      <c r="A15" s="188" t="s">
        <v>61</v>
      </c>
      <c r="B15" s="53">
        <v>15</v>
      </c>
      <c r="C15" s="53">
        <v>5</v>
      </c>
      <c r="F15" s="52"/>
      <c r="G15" s="53">
        <v>2</v>
      </c>
      <c r="H15" s="53">
        <v>0</v>
      </c>
      <c r="J15" s="214">
        <f t="shared" si="0"/>
        <v>22</v>
      </c>
    </row>
    <row r="16" spans="1:10" x14ac:dyDescent="0.25">
      <c r="A16" s="68" t="s">
        <v>200</v>
      </c>
      <c r="B16" s="197">
        <v>0</v>
      </c>
      <c r="C16" s="197">
        <v>0</v>
      </c>
      <c r="F16" s="52"/>
      <c r="G16" s="53">
        <v>28</v>
      </c>
      <c r="H16" s="53">
        <v>30</v>
      </c>
      <c r="J16" s="215">
        <f t="shared" si="0"/>
        <v>58</v>
      </c>
    </row>
    <row r="17" spans="1:10" x14ac:dyDescent="0.25">
      <c r="A17" s="68" t="s">
        <v>136</v>
      </c>
      <c r="B17" s="197">
        <v>0</v>
      </c>
      <c r="C17" s="197">
        <v>0</v>
      </c>
      <c r="F17" s="52"/>
      <c r="G17" s="53">
        <v>6</v>
      </c>
      <c r="H17" s="53">
        <v>0</v>
      </c>
      <c r="J17" s="214">
        <f t="shared" si="0"/>
        <v>6</v>
      </c>
    </row>
    <row r="18" spans="1:10" x14ac:dyDescent="0.25">
      <c r="A18" s="68" t="s">
        <v>305</v>
      </c>
      <c r="B18" s="53">
        <v>1</v>
      </c>
      <c r="C18" s="53">
        <v>0</v>
      </c>
      <c r="F18" s="52"/>
      <c r="G18" s="197">
        <v>0</v>
      </c>
      <c r="H18" s="197">
        <v>0</v>
      </c>
      <c r="J18" s="214">
        <f t="shared" si="0"/>
        <v>1</v>
      </c>
    </row>
    <row r="19" spans="1:10" x14ac:dyDescent="0.25">
      <c r="A19" s="68" t="s">
        <v>81</v>
      </c>
      <c r="B19" s="53">
        <v>21</v>
      </c>
      <c r="C19" s="53">
        <v>5</v>
      </c>
      <c r="F19" s="52"/>
      <c r="G19" s="53">
        <v>13</v>
      </c>
      <c r="H19" s="53">
        <v>10</v>
      </c>
      <c r="J19" s="215">
        <f t="shared" si="0"/>
        <v>49</v>
      </c>
    </row>
    <row r="20" spans="1:10" x14ac:dyDescent="0.25">
      <c r="A20" s="188" t="s">
        <v>105</v>
      </c>
      <c r="B20" s="53">
        <v>5</v>
      </c>
      <c r="C20" s="53">
        <v>1</v>
      </c>
      <c r="F20" s="52"/>
      <c r="G20" s="53">
        <v>1</v>
      </c>
      <c r="H20" s="53">
        <v>2</v>
      </c>
      <c r="J20" s="214">
        <f t="shared" si="0"/>
        <v>9</v>
      </c>
    </row>
    <row r="21" spans="1:10" x14ac:dyDescent="0.25">
      <c r="A21" s="68" t="s">
        <v>330</v>
      </c>
      <c r="B21" s="53">
        <v>1</v>
      </c>
      <c r="C21" s="53">
        <v>0</v>
      </c>
      <c r="F21" s="52"/>
      <c r="G21" s="53">
        <v>1</v>
      </c>
      <c r="H21" s="53">
        <v>0</v>
      </c>
      <c r="J21" s="214">
        <f t="shared" si="0"/>
        <v>2</v>
      </c>
    </row>
    <row r="22" spans="1:10" x14ac:dyDescent="0.25">
      <c r="A22" s="68" t="s">
        <v>226</v>
      </c>
      <c r="B22" s="53">
        <v>13</v>
      </c>
      <c r="C22" s="53">
        <v>0</v>
      </c>
      <c r="F22" s="52"/>
      <c r="G22" s="53">
        <v>5</v>
      </c>
      <c r="H22" s="53">
        <v>10</v>
      </c>
      <c r="J22" s="214">
        <f t="shared" si="0"/>
        <v>28</v>
      </c>
    </row>
    <row r="23" spans="1:10" x14ac:dyDescent="0.25">
      <c r="A23" s="188" t="s">
        <v>113</v>
      </c>
      <c r="B23" s="53">
        <v>3</v>
      </c>
      <c r="C23" s="53">
        <v>2</v>
      </c>
      <c r="F23" s="52"/>
      <c r="G23" s="53">
        <v>10</v>
      </c>
      <c r="H23" s="53">
        <v>8</v>
      </c>
      <c r="J23" s="214">
        <f t="shared" si="0"/>
        <v>23</v>
      </c>
    </row>
    <row r="24" spans="1:10" x14ac:dyDescent="0.25">
      <c r="A24" s="68" t="s">
        <v>38</v>
      </c>
      <c r="B24" s="53">
        <v>3</v>
      </c>
      <c r="C24" s="53">
        <v>0</v>
      </c>
      <c r="F24" s="52"/>
      <c r="G24" s="53">
        <v>2</v>
      </c>
      <c r="H24" s="53">
        <v>0</v>
      </c>
      <c r="J24" s="214">
        <f t="shared" si="0"/>
        <v>5</v>
      </c>
    </row>
    <row r="25" spans="1:10" x14ac:dyDescent="0.25">
      <c r="A25" s="68" t="s">
        <v>20</v>
      </c>
      <c r="B25" s="53">
        <v>2</v>
      </c>
      <c r="C25" s="53">
        <v>0</v>
      </c>
      <c r="F25" s="52"/>
      <c r="G25" s="53">
        <v>1</v>
      </c>
      <c r="H25" s="53">
        <v>0</v>
      </c>
      <c r="J25" s="214">
        <f t="shared" si="0"/>
        <v>3</v>
      </c>
    </row>
    <row r="26" spans="1:10" x14ac:dyDescent="0.25">
      <c r="A26" s="68" t="s">
        <v>213</v>
      </c>
      <c r="B26" s="197">
        <v>0</v>
      </c>
      <c r="C26" s="197">
        <v>0</v>
      </c>
      <c r="F26" s="52"/>
      <c r="G26" s="53">
        <v>13</v>
      </c>
      <c r="H26" s="53">
        <v>23</v>
      </c>
      <c r="J26" s="214">
        <f t="shared" si="0"/>
        <v>36</v>
      </c>
    </row>
    <row r="27" spans="1:10" x14ac:dyDescent="0.25">
      <c r="A27" s="188" t="s">
        <v>154</v>
      </c>
      <c r="B27" s="53">
        <v>1</v>
      </c>
      <c r="C27" s="53">
        <v>1</v>
      </c>
      <c r="F27" s="52"/>
      <c r="G27" s="53">
        <v>1</v>
      </c>
      <c r="H27" s="53">
        <v>5</v>
      </c>
      <c r="J27" s="214">
        <f t="shared" si="0"/>
        <v>8</v>
      </c>
    </row>
    <row r="28" spans="1:10" x14ac:dyDescent="0.25">
      <c r="A28" s="188" t="s">
        <v>139</v>
      </c>
      <c r="B28" s="53">
        <v>25</v>
      </c>
      <c r="C28" s="53">
        <v>1</v>
      </c>
      <c r="F28" s="52"/>
      <c r="G28" s="53">
        <v>3</v>
      </c>
      <c r="H28" s="53">
        <v>8</v>
      </c>
      <c r="J28" s="214">
        <f t="shared" si="0"/>
        <v>37</v>
      </c>
    </row>
    <row r="29" spans="1:10" x14ac:dyDescent="0.25">
      <c r="A29" s="68" t="s">
        <v>187</v>
      </c>
      <c r="B29" s="53">
        <v>0</v>
      </c>
      <c r="C29" s="53">
        <v>0</v>
      </c>
      <c r="F29" s="52"/>
      <c r="G29" s="53">
        <v>0</v>
      </c>
      <c r="H29" s="53">
        <v>2</v>
      </c>
      <c r="J29" s="214">
        <f t="shared" si="0"/>
        <v>2</v>
      </c>
    </row>
    <row r="30" spans="1:10" x14ac:dyDescent="0.25">
      <c r="A30" s="188" t="s">
        <v>168</v>
      </c>
      <c r="B30" s="53">
        <v>0</v>
      </c>
      <c r="C30" s="53">
        <v>0</v>
      </c>
      <c r="F30" s="52"/>
      <c r="G30" s="53">
        <v>2</v>
      </c>
      <c r="H30" s="53">
        <v>4</v>
      </c>
      <c r="J30" s="214">
        <f t="shared" si="0"/>
        <v>6</v>
      </c>
    </row>
    <row r="31" spans="1:10" x14ac:dyDescent="0.25">
      <c r="A31" s="68" t="s">
        <v>331</v>
      </c>
      <c r="B31" s="53">
        <v>2</v>
      </c>
      <c r="C31" s="53">
        <v>2</v>
      </c>
      <c r="F31" s="52"/>
      <c r="G31" s="53">
        <v>0</v>
      </c>
      <c r="H31" s="53">
        <v>3</v>
      </c>
      <c r="J31" s="214">
        <f t="shared" si="0"/>
        <v>7</v>
      </c>
    </row>
    <row r="32" spans="1:10" x14ac:dyDescent="0.25">
      <c r="A32" s="68" t="s">
        <v>251</v>
      </c>
      <c r="B32" s="197">
        <v>0</v>
      </c>
      <c r="C32" s="197">
        <v>0</v>
      </c>
      <c r="F32" s="52"/>
      <c r="G32" s="53">
        <v>1</v>
      </c>
      <c r="H32" s="53">
        <v>0</v>
      </c>
      <c r="J32" s="214">
        <f t="shared" si="0"/>
        <v>1</v>
      </c>
    </row>
    <row r="33" spans="1:11" x14ac:dyDescent="0.25">
      <c r="A33" s="68" t="s">
        <v>291</v>
      </c>
      <c r="B33" s="53">
        <v>1</v>
      </c>
      <c r="C33" s="53">
        <v>0</v>
      </c>
      <c r="F33" s="52"/>
      <c r="G33" s="197">
        <v>0</v>
      </c>
      <c r="H33" s="197">
        <v>0</v>
      </c>
      <c r="J33" s="214">
        <f t="shared" si="0"/>
        <v>1</v>
      </c>
    </row>
    <row r="34" spans="1:11" x14ac:dyDescent="0.25">
      <c r="A34" s="68" t="s">
        <v>299</v>
      </c>
      <c r="B34" s="191">
        <v>1</v>
      </c>
      <c r="C34" s="191">
        <v>0</v>
      </c>
      <c r="F34" s="52"/>
      <c r="G34" s="198">
        <v>0</v>
      </c>
      <c r="H34" s="198">
        <v>0</v>
      </c>
      <c r="J34" s="214">
        <f t="shared" si="0"/>
        <v>1</v>
      </c>
    </row>
    <row r="35" spans="1:11" x14ac:dyDescent="0.25">
      <c r="A35" s="68"/>
      <c r="B35" s="192">
        <f>SUM(B2:B34)</f>
        <v>138</v>
      </c>
      <c r="C35" s="193">
        <f>SUM(C2:C34)</f>
        <v>35</v>
      </c>
      <c r="F35" s="68"/>
      <c r="G35" s="192">
        <f>SUM(G2:G34)</f>
        <v>128</v>
      </c>
      <c r="H35" s="193">
        <f>SUM(H2:H34)</f>
        <v>120</v>
      </c>
    </row>
    <row r="36" spans="1:11" x14ac:dyDescent="0.25">
      <c r="A36" s="68"/>
      <c r="F36" s="68"/>
    </row>
    <row r="37" spans="1:11" x14ac:dyDescent="0.25">
      <c r="A37" s="68"/>
      <c r="B37" s="193">
        <f>SUM(B35:C35)</f>
        <v>173</v>
      </c>
      <c r="G37" s="193">
        <f>SUM(G35:H35)</f>
        <v>248</v>
      </c>
      <c r="K37" s="52">
        <f>SUM(B37:G37)</f>
        <v>421</v>
      </c>
    </row>
    <row r="39" spans="1:11" x14ac:dyDescent="0.25">
      <c r="A39" s="68" t="s">
        <v>328</v>
      </c>
      <c r="F39" s="68" t="s">
        <v>328</v>
      </c>
      <c r="G39" s="52"/>
      <c r="H39" s="52"/>
    </row>
    <row r="40" spans="1:11" x14ac:dyDescent="0.25">
      <c r="B40" s="52"/>
      <c r="C40" s="52"/>
    </row>
    <row r="41" spans="1:11" x14ac:dyDescent="0.25">
      <c r="B41" s="53">
        <v>5</v>
      </c>
      <c r="C41" s="53">
        <v>2</v>
      </c>
      <c r="F41" s="52"/>
      <c r="G41" s="52"/>
      <c r="H41" s="52"/>
    </row>
    <row r="42" spans="1:11" x14ac:dyDescent="0.25">
      <c r="B42" s="52"/>
      <c r="C42" s="52"/>
      <c r="F42" s="52"/>
      <c r="G42" s="53">
        <v>1</v>
      </c>
      <c r="H42" s="53">
        <v>2</v>
      </c>
    </row>
    <row r="43" spans="1:11" x14ac:dyDescent="0.25">
      <c r="B43" s="52"/>
      <c r="C43" s="52"/>
      <c r="F43" s="52"/>
      <c r="G43" s="52"/>
      <c r="H43" s="52"/>
    </row>
    <row r="44" spans="1:11" x14ac:dyDescent="0.25">
      <c r="B44" s="52"/>
      <c r="C44" s="52"/>
      <c r="F44" s="68"/>
    </row>
    <row r="45" spans="1:11" x14ac:dyDescent="0.25">
      <c r="B45" s="52"/>
      <c r="C45" s="52"/>
      <c r="F45" s="52"/>
      <c r="G45" s="52"/>
      <c r="H45" s="52"/>
    </row>
    <row r="47" spans="1:11" x14ac:dyDescent="0.25">
      <c r="A47" s="53" t="s">
        <v>320</v>
      </c>
      <c r="G47" s="52" t="s">
        <v>320</v>
      </c>
    </row>
    <row r="48" spans="1:11" x14ac:dyDescent="0.25">
      <c r="A48" s="53"/>
      <c r="G48" s="52"/>
    </row>
    <row r="49" spans="1:14" x14ac:dyDescent="0.25">
      <c r="A49" s="53" t="s">
        <v>316</v>
      </c>
      <c r="B49" s="52" t="s">
        <v>318</v>
      </c>
      <c r="G49" s="52" t="s">
        <v>317</v>
      </c>
      <c r="H49" s="52" t="s">
        <v>319</v>
      </c>
      <c r="I49" s="53"/>
    </row>
    <row r="50" spans="1:14" x14ac:dyDescent="0.25">
      <c r="A50" s="53" t="s">
        <v>321</v>
      </c>
      <c r="B50" s="53">
        <v>2.4287000000000001</v>
      </c>
      <c r="C50" s="53" t="s">
        <v>321</v>
      </c>
      <c r="D50" s="53">
        <v>2.6463999999999999</v>
      </c>
      <c r="G50" s="52" t="s">
        <v>321</v>
      </c>
      <c r="H50" s="53">
        <v>2.6497999999999999</v>
      </c>
      <c r="I50" s="52" t="s">
        <v>321</v>
      </c>
      <c r="J50" s="52">
        <v>2.4266999999999999</v>
      </c>
      <c r="M50" s="52" t="s">
        <v>321</v>
      </c>
      <c r="N50" s="52">
        <v>2.6737000000000002</v>
      </c>
    </row>
    <row r="51" spans="1:14" x14ac:dyDescent="0.25">
      <c r="A51" s="53" t="s">
        <v>322</v>
      </c>
      <c r="B51" s="53">
        <v>8.6581000000000002E-3</v>
      </c>
      <c r="C51" s="53" t="s">
        <v>322</v>
      </c>
      <c r="D51" s="53">
        <v>1.5278999999999999E-2</v>
      </c>
      <c r="G51" s="52" t="s">
        <v>322</v>
      </c>
      <c r="H51" s="53">
        <v>8.0651999999999998E-3</v>
      </c>
      <c r="I51" s="52" t="s">
        <v>322</v>
      </c>
      <c r="J51" s="52">
        <v>8.2194E-3</v>
      </c>
      <c r="M51" s="52" t="s">
        <v>322</v>
      </c>
      <c r="N51" s="52">
        <v>6.0247E-3</v>
      </c>
    </row>
    <row r="52" spans="1:14" x14ac:dyDescent="0.25">
      <c r="A52" s="53"/>
      <c r="G52" s="52"/>
    </row>
    <row r="53" spans="1:14" x14ac:dyDescent="0.25">
      <c r="A53" s="53" t="s">
        <v>323</v>
      </c>
      <c r="B53" s="53">
        <v>-1.4074</v>
      </c>
      <c r="G53" s="52" t="s">
        <v>323</v>
      </c>
      <c r="H53" s="53">
        <v>1.7484</v>
      </c>
    </row>
    <row r="54" spans="1:14" x14ac:dyDescent="0.25">
      <c r="A54" s="53" t="s">
        <v>324</v>
      </c>
      <c r="B54" s="53">
        <v>82.242999999999995</v>
      </c>
      <c r="G54" s="52" t="s">
        <v>324</v>
      </c>
      <c r="H54" s="53">
        <v>247.72</v>
      </c>
    </row>
    <row r="55" spans="1:14" x14ac:dyDescent="0.25">
      <c r="A55" s="53" t="s">
        <v>325</v>
      </c>
      <c r="B55" s="53">
        <v>0.16308</v>
      </c>
      <c r="G55" s="52" t="s">
        <v>325</v>
      </c>
      <c r="H55" s="53">
        <v>8.1628999999999993E-2</v>
      </c>
    </row>
    <row r="56" spans="1:14" x14ac:dyDescent="0.25">
      <c r="A56" s="53"/>
      <c r="G56" s="52"/>
    </row>
    <row r="57" spans="1:14" x14ac:dyDescent="0.25">
      <c r="A57" s="53" t="s">
        <v>326</v>
      </c>
      <c r="G57" s="52" t="s">
        <v>326</v>
      </c>
    </row>
    <row r="58" spans="1:14" x14ac:dyDescent="0.25">
      <c r="A58" s="53"/>
      <c r="G58" s="52"/>
    </row>
    <row r="59" spans="1:14" x14ac:dyDescent="0.25">
      <c r="A59" s="53" t="s">
        <v>327</v>
      </c>
      <c r="B59" s="53">
        <v>0.12111</v>
      </c>
      <c r="C59" s="53" t="s">
        <v>327</v>
      </c>
      <c r="D59" s="53">
        <v>8.2542000000000004E-2</v>
      </c>
      <c r="G59" s="52" t="s">
        <v>327</v>
      </c>
      <c r="H59" s="53">
        <v>0.10025000000000001</v>
      </c>
      <c r="I59" s="52" t="s">
        <v>327</v>
      </c>
      <c r="J59" s="52">
        <v>0.12684000000000001</v>
      </c>
      <c r="M59" s="52" t="s">
        <v>327</v>
      </c>
      <c r="N59" s="52">
        <v>9.7339999999999996E-2</v>
      </c>
    </row>
    <row r="60" spans="1:14" x14ac:dyDescent="0.25">
      <c r="A60" s="53" t="s">
        <v>322</v>
      </c>
      <c r="B60" s="53">
        <v>1.9693999999999999E-4</v>
      </c>
      <c r="C60" s="53" t="s">
        <v>322</v>
      </c>
      <c r="D60" s="53">
        <v>2.8362999999999999E-4</v>
      </c>
      <c r="G60" s="52" t="s">
        <v>322</v>
      </c>
      <c r="H60" s="53">
        <v>1.6940999999999999E-4</v>
      </c>
      <c r="I60" s="52" t="s">
        <v>322</v>
      </c>
      <c r="J60" s="52">
        <v>2.7531000000000002E-4</v>
      </c>
      <c r="M60" s="52" t="s">
        <v>322</v>
      </c>
      <c r="N60" s="52">
        <v>1.2171E-4</v>
      </c>
    </row>
    <row r="61" spans="1:14" x14ac:dyDescent="0.25">
      <c r="A61" s="53"/>
      <c r="G61" s="52"/>
    </row>
    <row r="62" spans="1:14" x14ac:dyDescent="0.25">
      <c r="A62" s="53" t="s">
        <v>323</v>
      </c>
      <c r="B62" s="53">
        <v>1.7595000000000001</v>
      </c>
      <c r="G62" s="52" t="s">
        <v>323</v>
      </c>
      <c r="H62" s="53">
        <v>-1.2605</v>
      </c>
    </row>
    <row r="63" spans="1:14" x14ac:dyDescent="0.25">
      <c r="A63" s="53" t="s">
        <v>324</v>
      </c>
      <c r="B63" s="53">
        <v>91.847999999999999</v>
      </c>
      <c r="G63" s="52" t="s">
        <v>324</v>
      </c>
      <c r="H63" s="53">
        <v>232.02</v>
      </c>
    </row>
    <row r="64" spans="1:14" x14ac:dyDescent="0.25">
      <c r="A64" s="53" t="s">
        <v>325</v>
      </c>
      <c r="B64" s="53">
        <v>8.1818000000000002E-2</v>
      </c>
      <c r="G64" s="52" t="s">
        <v>325</v>
      </c>
      <c r="H64" s="53">
        <v>0.20876</v>
      </c>
    </row>
    <row r="65" spans="1:8" x14ac:dyDescent="0.25">
      <c r="A65" s="53"/>
    </row>
    <row r="66" spans="1:8" x14ac:dyDescent="0.25">
      <c r="G66" s="52"/>
      <c r="H66" s="52"/>
    </row>
  </sheetData>
  <sortState xmlns:xlrd2="http://schemas.microsoft.com/office/spreadsheetml/2017/richdata2" ref="F2:H33">
    <sortCondition ref="F2:F3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8"/>
  <sheetViews>
    <sheetView zoomScale="58" zoomScaleNormal="90" workbookViewId="0">
      <selection activeCell="R28" sqref="R28"/>
    </sheetView>
  </sheetViews>
  <sheetFormatPr baseColWidth="10" defaultColWidth="10.85546875" defaultRowHeight="15.75" x14ac:dyDescent="0.25"/>
  <cols>
    <col min="1" max="1" width="20.5703125" style="69" customWidth="1"/>
    <col min="2" max="6" width="10.85546875" style="69"/>
    <col min="7" max="7" width="16.5703125" style="69" customWidth="1"/>
    <col min="8" max="8" width="21.28515625" style="69" customWidth="1"/>
    <col min="9" max="16384" width="10.85546875" style="69"/>
  </cols>
  <sheetData>
    <row r="1" spans="1:12" x14ac:dyDescent="0.25">
      <c r="A1" s="32" t="s">
        <v>6</v>
      </c>
      <c r="B1" s="70" t="s">
        <v>316</v>
      </c>
      <c r="C1" s="70" t="s">
        <v>318</v>
      </c>
      <c r="D1" s="70"/>
      <c r="E1" s="70"/>
      <c r="F1" s="70" t="s">
        <v>317</v>
      </c>
      <c r="G1" s="70" t="s">
        <v>319</v>
      </c>
      <c r="H1" s="70"/>
      <c r="I1" s="70"/>
      <c r="J1" s="70"/>
      <c r="K1" s="70" t="s">
        <v>369</v>
      </c>
      <c r="L1" s="70" t="s">
        <v>370</v>
      </c>
    </row>
    <row r="2" spans="1:12" x14ac:dyDescent="0.25">
      <c r="A2" s="71" t="s">
        <v>114</v>
      </c>
      <c r="B2" s="70">
        <v>0</v>
      </c>
      <c r="C2" s="70">
        <v>1</v>
      </c>
      <c r="D2" s="70"/>
      <c r="E2" s="70"/>
      <c r="F2" s="70">
        <v>6</v>
      </c>
      <c r="G2" s="70">
        <v>5</v>
      </c>
      <c r="H2" s="204">
        <f>(B2+C2+F2+G2)</f>
        <v>12</v>
      </c>
      <c r="I2" s="70"/>
      <c r="J2" s="70"/>
      <c r="K2" s="70">
        <f>B2+F2</f>
        <v>6</v>
      </c>
      <c r="L2" s="70">
        <f>C2+G2</f>
        <v>6</v>
      </c>
    </row>
    <row r="3" spans="1:12" x14ac:dyDescent="0.25">
      <c r="A3" s="71" t="s">
        <v>201</v>
      </c>
      <c r="B3" s="195">
        <v>0</v>
      </c>
      <c r="C3" s="195">
        <v>0</v>
      </c>
      <c r="D3" s="70"/>
      <c r="E3" s="70"/>
      <c r="F3" s="70">
        <v>6</v>
      </c>
      <c r="G3" s="70">
        <v>4</v>
      </c>
      <c r="H3" s="204">
        <f t="shared" ref="H3:H54" si="0">(B3+C3+F3+G3)</f>
        <v>10</v>
      </c>
      <c r="I3" s="70"/>
      <c r="J3" s="70"/>
      <c r="K3" s="70">
        <f t="shared" ref="K3:K54" si="1">B3+F3</f>
        <v>6</v>
      </c>
      <c r="L3" s="70">
        <f t="shared" ref="L3:L54" si="2">C3+G3</f>
        <v>4</v>
      </c>
    </row>
    <row r="4" spans="1:12" x14ac:dyDescent="0.25">
      <c r="A4" s="71" t="s">
        <v>252</v>
      </c>
      <c r="B4" s="195">
        <v>0</v>
      </c>
      <c r="C4" s="195">
        <v>0</v>
      </c>
      <c r="D4" s="70"/>
      <c r="E4" s="70"/>
      <c r="F4" s="70">
        <v>1</v>
      </c>
      <c r="G4" s="70">
        <v>0</v>
      </c>
      <c r="H4" s="204">
        <f t="shared" si="0"/>
        <v>1</v>
      </c>
      <c r="I4" s="70"/>
      <c r="J4" s="70"/>
      <c r="K4" s="70">
        <f t="shared" si="1"/>
        <v>1</v>
      </c>
      <c r="L4" s="70">
        <f t="shared" si="2"/>
        <v>0</v>
      </c>
    </row>
    <row r="5" spans="1:12" x14ac:dyDescent="0.25">
      <c r="A5" s="71" t="s">
        <v>155</v>
      </c>
      <c r="B5" s="70">
        <v>1</v>
      </c>
      <c r="C5" s="70">
        <v>1</v>
      </c>
      <c r="D5" s="70"/>
      <c r="E5" s="70"/>
      <c r="F5" s="70">
        <v>0</v>
      </c>
      <c r="G5" s="70">
        <v>2</v>
      </c>
      <c r="H5" s="204">
        <f t="shared" si="0"/>
        <v>4</v>
      </c>
      <c r="I5" s="70"/>
      <c r="J5" s="70"/>
      <c r="K5" s="70">
        <f t="shared" si="1"/>
        <v>1</v>
      </c>
      <c r="L5" s="70">
        <f t="shared" si="2"/>
        <v>3</v>
      </c>
    </row>
    <row r="6" spans="1:12" x14ac:dyDescent="0.25">
      <c r="A6" s="71" t="s">
        <v>62</v>
      </c>
      <c r="B6" s="195">
        <v>0</v>
      </c>
      <c r="C6" s="195">
        <v>0</v>
      </c>
      <c r="D6" s="70"/>
      <c r="E6" s="70"/>
      <c r="F6" s="70">
        <v>1</v>
      </c>
      <c r="G6" s="70">
        <v>0</v>
      </c>
      <c r="H6" s="204">
        <f t="shared" si="0"/>
        <v>1</v>
      </c>
      <c r="I6" s="70"/>
      <c r="J6" s="70"/>
      <c r="K6" s="70">
        <f t="shared" si="1"/>
        <v>1</v>
      </c>
      <c r="L6" s="70">
        <f t="shared" si="2"/>
        <v>0</v>
      </c>
    </row>
    <row r="7" spans="1:12" x14ac:dyDescent="0.25">
      <c r="A7" s="71" t="s">
        <v>314</v>
      </c>
      <c r="B7" s="195">
        <v>0</v>
      </c>
      <c r="C7" s="195">
        <v>0</v>
      </c>
      <c r="D7" s="70"/>
      <c r="E7" s="70"/>
      <c r="F7" s="70">
        <v>4</v>
      </c>
      <c r="G7" s="70">
        <v>0</v>
      </c>
      <c r="H7" s="204">
        <f t="shared" si="0"/>
        <v>4</v>
      </c>
      <c r="I7" s="70"/>
      <c r="J7" s="70"/>
      <c r="K7" s="70">
        <f t="shared" si="1"/>
        <v>4</v>
      </c>
      <c r="L7" s="70">
        <f t="shared" si="2"/>
        <v>0</v>
      </c>
    </row>
    <row r="8" spans="1:12" x14ac:dyDescent="0.25">
      <c r="A8" s="71" t="s">
        <v>120</v>
      </c>
      <c r="B8" s="70">
        <v>1</v>
      </c>
      <c r="C8" s="70">
        <v>0</v>
      </c>
      <c r="D8" s="70"/>
      <c r="E8" s="70"/>
      <c r="F8" s="195">
        <v>0</v>
      </c>
      <c r="G8" s="195">
        <v>0</v>
      </c>
      <c r="H8" s="204">
        <f t="shared" si="0"/>
        <v>1</v>
      </c>
      <c r="I8" s="70"/>
      <c r="J8" s="70"/>
      <c r="K8" s="70">
        <f t="shared" si="1"/>
        <v>1</v>
      </c>
      <c r="L8" s="70">
        <f t="shared" si="2"/>
        <v>0</v>
      </c>
    </row>
    <row r="9" spans="1:12" x14ac:dyDescent="0.25">
      <c r="A9" s="69" t="s">
        <v>337</v>
      </c>
      <c r="B9" s="70">
        <v>4</v>
      </c>
      <c r="C9" s="70">
        <v>0</v>
      </c>
      <c r="D9" s="70"/>
      <c r="E9" s="70"/>
      <c r="F9" s="70">
        <v>1</v>
      </c>
      <c r="G9" s="70">
        <v>0</v>
      </c>
      <c r="H9" s="204">
        <f t="shared" si="0"/>
        <v>5</v>
      </c>
      <c r="I9" s="70"/>
      <c r="J9" s="70"/>
      <c r="K9" s="70">
        <f t="shared" si="1"/>
        <v>5</v>
      </c>
      <c r="L9" s="70">
        <f t="shared" si="2"/>
        <v>0</v>
      </c>
    </row>
    <row r="10" spans="1:12" x14ac:dyDescent="0.25">
      <c r="A10" s="71" t="s">
        <v>178</v>
      </c>
      <c r="B10" s="70">
        <v>2</v>
      </c>
      <c r="C10" s="70">
        <v>1</v>
      </c>
      <c r="D10" s="70"/>
      <c r="E10" s="70"/>
      <c r="F10" s="70">
        <v>9</v>
      </c>
      <c r="G10" s="70">
        <v>1</v>
      </c>
      <c r="H10" s="204">
        <f t="shared" si="0"/>
        <v>13</v>
      </c>
      <c r="I10" s="70"/>
      <c r="J10" s="70"/>
      <c r="K10" s="70">
        <f t="shared" si="1"/>
        <v>11</v>
      </c>
      <c r="L10" s="70">
        <f t="shared" si="2"/>
        <v>2</v>
      </c>
    </row>
    <row r="11" spans="1:12" x14ac:dyDescent="0.25">
      <c r="A11" s="71" t="s">
        <v>311</v>
      </c>
      <c r="B11" s="70">
        <v>1</v>
      </c>
      <c r="C11" s="70">
        <v>0</v>
      </c>
      <c r="D11" s="70"/>
      <c r="E11" s="70"/>
      <c r="F11" s="70">
        <v>0</v>
      </c>
      <c r="G11" s="70">
        <v>0</v>
      </c>
      <c r="H11" s="204">
        <f t="shared" si="0"/>
        <v>1</v>
      </c>
      <c r="I11" s="70"/>
      <c r="J11" s="70"/>
      <c r="K11" s="70">
        <f t="shared" si="1"/>
        <v>1</v>
      </c>
      <c r="L11" s="70">
        <f t="shared" si="2"/>
        <v>0</v>
      </c>
    </row>
    <row r="12" spans="1:12" x14ac:dyDescent="0.25">
      <c r="A12" s="71" t="s">
        <v>250</v>
      </c>
      <c r="B12" s="70">
        <v>0</v>
      </c>
      <c r="C12" s="70">
        <v>0</v>
      </c>
      <c r="D12" s="70"/>
      <c r="E12" s="70"/>
      <c r="F12" s="70">
        <v>1</v>
      </c>
      <c r="G12" s="70">
        <v>0</v>
      </c>
      <c r="H12" s="204">
        <f t="shared" si="0"/>
        <v>1</v>
      </c>
      <c r="I12" s="70"/>
      <c r="J12" s="70"/>
      <c r="K12" s="70">
        <f t="shared" si="1"/>
        <v>1</v>
      </c>
      <c r="L12" s="70">
        <f t="shared" si="2"/>
        <v>0</v>
      </c>
    </row>
    <row r="13" spans="1:12" x14ac:dyDescent="0.25">
      <c r="A13" s="71" t="s">
        <v>35</v>
      </c>
      <c r="B13" s="70">
        <v>0</v>
      </c>
      <c r="C13" s="70">
        <v>0</v>
      </c>
      <c r="D13" s="70"/>
      <c r="E13" s="70"/>
      <c r="F13" s="70">
        <v>0</v>
      </c>
      <c r="G13" s="70">
        <v>2</v>
      </c>
      <c r="H13" s="204">
        <f t="shared" si="0"/>
        <v>2</v>
      </c>
      <c r="I13" s="70"/>
      <c r="J13" s="70"/>
      <c r="K13" s="70">
        <f t="shared" si="1"/>
        <v>0</v>
      </c>
      <c r="L13" s="70">
        <f t="shared" si="2"/>
        <v>2</v>
      </c>
    </row>
    <row r="14" spans="1:12" x14ac:dyDescent="0.25">
      <c r="A14" s="71" t="s">
        <v>192</v>
      </c>
      <c r="B14" s="70">
        <v>1</v>
      </c>
      <c r="C14" s="70">
        <v>4</v>
      </c>
      <c r="D14" s="70"/>
      <c r="E14" s="70"/>
      <c r="F14" s="70">
        <v>6</v>
      </c>
      <c r="G14" s="70">
        <v>1</v>
      </c>
      <c r="H14" s="204">
        <f t="shared" si="0"/>
        <v>12</v>
      </c>
      <c r="I14" s="70"/>
      <c r="J14" s="70"/>
      <c r="K14" s="70">
        <f t="shared" si="1"/>
        <v>7</v>
      </c>
      <c r="L14" s="70">
        <f t="shared" si="2"/>
        <v>5</v>
      </c>
    </row>
    <row r="15" spans="1:12" x14ac:dyDescent="0.25">
      <c r="A15" s="71" t="s">
        <v>227</v>
      </c>
      <c r="B15" s="70">
        <v>0</v>
      </c>
      <c r="C15" s="70">
        <v>0</v>
      </c>
      <c r="D15" s="70"/>
      <c r="E15" s="70"/>
      <c r="F15" s="70">
        <v>0</v>
      </c>
      <c r="G15" s="70">
        <v>1</v>
      </c>
      <c r="H15" s="204">
        <f t="shared" si="0"/>
        <v>1</v>
      </c>
      <c r="I15" s="70"/>
      <c r="J15" s="70"/>
      <c r="K15" s="70">
        <f t="shared" si="1"/>
        <v>0</v>
      </c>
      <c r="L15" s="70">
        <f t="shared" si="2"/>
        <v>1</v>
      </c>
    </row>
    <row r="16" spans="1:12" x14ac:dyDescent="0.25">
      <c r="A16" s="71" t="s">
        <v>229</v>
      </c>
      <c r="B16" s="70">
        <v>13</v>
      </c>
      <c r="C16" s="70">
        <v>0</v>
      </c>
      <c r="D16" s="70"/>
      <c r="E16" s="70"/>
      <c r="F16" s="70">
        <v>5</v>
      </c>
      <c r="G16" s="70">
        <v>9</v>
      </c>
      <c r="H16" s="216">
        <f t="shared" si="0"/>
        <v>27</v>
      </c>
      <c r="I16" s="70"/>
      <c r="J16" s="70"/>
      <c r="K16" s="218">
        <f t="shared" si="1"/>
        <v>18</v>
      </c>
      <c r="L16" s="70">
        <f t="shared" si="2"/>
        <v>9</v>
      </c>
    </row>
    <row r="17" spans="1:12" x14ac:dyDescent="0.25">
      <c r="A17" s="71" t="s">
        <v>203</v>
      </c>
      <c r="B17" s="195">
        <v>0</v>
      </c>
      <c r="C17" s="195">
        <v>0</v>
      </c>
      <c r="D17" s="70"/>
      <c r="E17" s="70"/>
      <c r="F17" s="70">
        <v>1</v>
      </c>
      <c r="G17" s="70">
        <v>4</v>
      </c>
      <c r="H17" s="204">
        <f t="shared" si="0"/>
        <v>5</v>
      </c>
      <c r="I17" s="70"/>
      <c r="J17" s="70"/>
      <c r="K17" s="70">
        <f t="shared" si="1"/>
        <v>1</v>
      </c>
      <c r="L17" s="70">
        <f t="shared" si="2"/>
        <v>4</v>
      </c>
    </row>
    <row r="18" spans="1:12" x14ac:dyDescent="0.25">
      <c r="A18" s="71" t="s">
        <v>122</v>
      </c>
      <c r="B18" s="195">
        <v>0</v>
      </c>
      <c r="C18" s="195">
        <v>0</v>
      </c>
      <c r="D18" s="70"/>
      <c r="E18" s="70"/>
      <c r="F18" s="70">
        <v>1</v>
      </c>
      <c r="G18" s="70">
        <v>0</v>
      </c>
      <c r="H18" s="204">
        <f t="shared" si="0"/>
        <v>1</v>
      </c>
      <c r="I18" s="70"/>
      <c r="J18" s="70"/>
      <c r="K18" s="70">
        <f t="shared" si="1"/>
        <v>1</v>
      </c>
      <c r="L18" s="70">
        <f t="shared" si="2"/>
        <v>0</v>
      </c>
    </row>
    <row r="19" spans="1:12" x14ac:dyDescent="0.25">
      <c r="A19" s="71" t="s">
        <v>204</v>
      </c>
      <c r="B19" s="195">
        <v>0</v>
      </c>
      <c r="C19" s="195">
        <v>0</v>
      </c>
      <c r="D19" s="70"/>
      <c r="E19" s="70"/>
      <c r="F19" s="70">
        <v>3</v>
      </c>
      <c r="G19" s="70">
        <v>0</v>
      </c>
      <c r="H19" s="204">
        <f t="shared" si="0"/>
        <v>3</v>
      </c>
      <c r="I19" s="70"/>
      <c r="J19" s="70"/>
      <c r="K19" s="70">
        <f t="shared" si="1"/>
        <v>3</v>
      </c>
      <c r="L19" s="70">
        <f t="shared" si="2"/>
        <v>0</v>
      </c>
    </row>
    <row r="20" spans="1:12" x14ac:dyDescent="0.25">
      <c r="A20" s="71" t="s">
        <v>205</v>
      </c>
      <c r="B20" s="195">
        <v>0</v>
      </c>
      <c r="C20" s="195">
        <v>0</v>
      </c>
      <c r="D20" s="70"/>
      <c r="E20" s="70"/>
      <c r="F20" s="70">
        <v>0</v>
      </c>
      <c r="G20" s="70">
        <v>1</v>
      </c>
      <c r="H20" s="204">
        <f t="shared" si="0"/>
        <v>1</v>
      </c>
      <c r="I20" s="70"/>
      <c r="J20" s="70"/>
      <c r="K20" s="70">
        <f t="shared" si="1"/>
        <v>0</v>
      </c>
      <c r="L20" s="70">
        <f t="shared" si="2"/>
        <v>1</v>
      </c>
    </row>
    <row r="21" spans="1:12" x14ac:dyDescent="0.25">
      <c r="A21" s="71" t="s">
        <v>159</v>
      </c>
      <c r="B21" s="195">
        <v>0</v>
      </c>
      <c r="C21" s="195">
        <v>0</v>
      </c>
      <c r="D21" s="70"/>
      <c r="E21" s="70"/>
      <c r="F21" s="70">
        <v>0</v>
      </c>
      <c r="G21" s="70">
        <v>1</v>
      </c>
      <c r="H21" s="204">
        <f t="shared" si="0"/>
        <v>1</v>
      </c>
      <c r="I21" s="70"/>
      <c r="J21" s="70"/>
      <c r="K21" s="70">
        <f t="shared" si="1"/>
        <v>0</v>
      </c>
      <c r="L21" s="70">
        <f t="shared" si="2"/>
        <v>1</v>
      </c>
    </row>
    <row r="22" spans="1:12" x14ac:dyDescent="0.25">
      <c r="A22" s="71" t="s">
        <v>161</v>
      </c>
      <c r="B22" s="195">
        <v>0</v>
      </c>
      <c r="C22" s="195">
        <v>0</v>
      </c>
      <c r="D22" s="70"/>
      <c r="E22" s="70"/>
      <c r="F22" s="70">
        <v>1</v>
      </c>
      <c r="G22" s="70">
        <v>2</v>
      </c>
      <c r="H22" s="204">
        <f t="shared" si="0"/>
        <v>3</v>
      </c>
      <c r="I22" s="70"/>
      <c r="J22" s="70"/>
      <c r="K22" s="70">
        <f t="shared" si="1"/>
        <v>1</v>
      </c>
      <c r="L22" s="70">
        <f t="shared" si="2"/>
        <v>2</v>
      </c>
    </row>
    <row r="23" spans="1:12" x14ac:dyDescent="0.25">
      <c r="A23" s="71" t="s">
        <v>130</v>
      </c>
      <c r="B23" s="70">
        <v>2</v>
      </c>
      <c r="C23" s="70">
        <v>0</v>
      </c>
      <c r="D23" s="70"/>
      <c r="E23" s="70"/>
      <c r="F23" s="70">
        <v>0</v>
      </c>
      <c r="G23" s="70">
        <v>0</v>
      </c>
      <c r="H23" s="204">
        <f t="shared" si="0"/>
        <v>2</v>
      </c>
      <c r="I23" s="70"/>
      <c r="J23" s="70"/>
      <c r="K23" s="70">
        <f t="shared" si="1"/>
        <v>2</v>
      </c>
      <c r="L23" s="70">
        <f t="shared" si="2"/>
        <v>0</v>
      </c>
    </row>
    <row r="24" spans="1:12" x14ac:dyDescent="0.25">
      <c r="A24" s="71" t="s">
        <v>39</v>
      </c>
      <c r="B24" s="70">
        <v>1</v>
      </c>
      <c r="C24" s="70">
        <v>0</v>
      </c>
      <c r="D24" s="70"/>
      <c r="E24" s="70"/>
      <c r="F24" s="70">
        <v>1</v>
      </c>
      <c r="G24" s="70">
        <v>0</v>
      </c>
      <c r="H24" s="204">
        <f t="shared" si="0"/>
        <v>2</v>
      </c>
      <c r="I24" s="70"/>
      <c r="J24" s="70"/>
      <c r="K24" s="70">
        <f t="shared" si="1"/>
        <v>2</v>
      </c>
      <c r="L24" s="70">
        <f t="shared" si="2"/>
        <v>0</v>
      </c>
    </row>
    <row r="25" spans="1:12" x14ac:dyDescent="0.25">
      <c r="A25" s="71" t="s">
        <v>312</v>
      </c>
      <c r="B25" s="70">
        <v>1</v>
      </c>
      <c r="C25" s="70">
        <v>0</v>
      </c>
      <c r="D25" s="70"/>
      <c r="E25" s="70"/>
      <c r="F25" s="70">
        <v>1</v>
      </c>
      <c r="G25" s="70">
        <v>0</v>
      </c>
      <c r="H25" s="204">
        <f t="shared" si="0"/>
        <v>2</v>
      </c>
      <c r="I25" s="70"/>
      <c r="J25" s="70"/>
      <c r="K25" s="70">
        <f t="shared" si="1"/>
        <v>2</v>
      </c>
      <c r="L25" s="70">
        <f t="shared" si="2"/>
        <v>0</v>
      </c>
    </row>
    <row r="26" spans="1:12" x14ac:dyDescent="0.25">
      <c r="A26" s="194" t="s">
        <v>221</v>
      </c>
      <c r="B26" s="70">
        <v>0</v>
      </c>
      <c r="C26" s="70">
        <v>1</v>
      </c>
      <c r="D26" s="70"/>
      <c r="E26" s="70"/>
      <c r="F26" s="70">
        <v>0</v>
      </c>
      <c r="G26" s="70">
        <v>3</v>
      </c>
      <c r="H26" s="204">
        <f t="shared" si="0"/>
        <v>4</v>
      </c>
      <c r="I26" s="70"/>
      <c r="J26" s="70"/>
      <c r="K26" s="70">
        <f t="shared" si="1"/>
        <v>0</v>
      </c>
      <c r="L26" s="70">
        <f t="shared" si="2"/>
        <v>4</v>
      </c>
    </row>
    <row r="27" spans="1:12" x14ac:dyDescent="0.25">
      <c r="A27" s="36" t="s">
        <v>64</v>
      </c>
      <c r="B27" s="70">
        <v>1</v>
      </c>
      <c r="C27" s="70">
        <v>0</v>
      </c>
      <c r="D27" s="70"/>
      <c r="E27" s="70"/>
      <c r="F27" s="195">
        <v>0</v>
      </c>
      <c r="G27" s="195">
        <v>0</v>
      </c>
      <c r="H27" s="204">
        <f t="shared" si="0"/>
        <v>1</v>
      </c>
      <c r="I27" s="70"/>
      <c r="J27" s="70"/>
      <c r="K27" s="70">
        <f t="shared" si="1"/>
        <v>1</v>
      </c>
      <c r="L27" s="70">
        <f t="shared" si="2"/>
        <v>0</v>
      </c>
    </row>
    <row r="28" spans="1:12" x14ac:dyDescent="0.25">
      <c r="A28" s="71" t="s">
        <v>207</v>
      </c>
      <c r="B28" s="70">
        <v>0</v>
      </c>
      <c r="C28" s="70">
        <v>0</v>
      </c>
      <c r="D28" s="70"/>
      <c r="E28" s="70"/>
      <c r="F28" s="70">
        <v>18</v>
      </c>
      <c r="G28" s="70">
        <v>21</v>
      </c>
      <c r="H28" s="216">
        <f t="shared" si="0"/>
        <v>39</v>
      </c>
      <c r="I28" s="70"/>
      <c r="J28" s="70"/>
      <c r="K28" s="218">
        <f t="shared" si="1"/>
        <v>18</v>
      </c>
      <c r="L28" s="218">
        <f t="shared" si="2"/>
        <v>21</v>
      </c>
    </row>
    <row r="29" spans="1:12" x14ac:dyDescent="0.25">
      <c r="A29" s="71" t="s">
        <v>66</v>
      </c>
      <c r="B29" s="70">
        <v>11</v>
      </c>
      <c r="C29" s="70">
        <v>3</v>
      </c>
      <c r="D29" s="70"/>
      <c r="E29" s="70"/>
      <c r="F29" s="195">
        <v>0</v>
      </c>
      <c r="G29" s="195">
        <v>0</v>
      </c>
      <c r="H29" s="217">
        <f t="shared" si="0"/>
        <v>14</v>
      </c>
      <c r="I29" s="70"/>
      <c r="J29" s="70"/>
      <c r="K29" s="70">
        <f t="shared" si="1"/>
        <v>11</v>
      </c>
      <c r="L29" s="70">
        <f t="shared" si="2"/>
        <v>3</v>
      </c>
    </row>
    <row r="30" spans="1:12" x14ac:dyDescent="0.25">
      <c r="A30" s="71" t="s">
        <v>37</v>
      </c>
      <c r="B30" s="195">
        <v>0</v>
      </c>
      <c r="C30" s="195">
        <v>0</v>
      </c>
      <c r="D30" s="70"/>
      <c r="E30" s="70"/>
      <c r="F30" s="70">
        <v>0</v>
      </c>
      <c r="G30" s="70">
        <v>1</v>
      </c>
      <c r="H30" s="204">
        <f t="shared" si="0"/>
        <v>1</v>
      </c>
      <c r="I30" s="70"/>
      <c r="J30" s="70"/>
      <c r="K30" s="70">
        <f t="shared" si="1"/>
        <v>0</v>
      </c>
      <c r="L30" s="70">
        <f t="shared" si="2"/>
        <v>1</v>
      </c>
    </row>
    <row r="31" spans="1:12" x14ac:dyDescent="0.25">
      <c r="A31" s="71" t="s">
        <v>315</v>
      </c>
      <c r="B31" s="195">
        <v>0</v>
      </c>
      <c r="C31" s="195">
        <v>0</v>
      </c>
      <c r="D31" s="70"/>
      <c r="E31" s="70"/>
      <c r="F31" s="70">
        <v>2</v>
      </c>
      <c r="G31" s="70">
        <v>0</v>
      </c>
      <c r="H31" s="204">
        <f t="shared" si="0"/>
        <v>2</v>
      </c>
      <c r="I31" s="70"/>
      <c r="J31" s="70"/>
      <c r="K31" s="70">
        <f t="shared" si="1"/>
        <v>2</v>
      </c>
      <c r="L31" s="70">
        <f t="shared" si="2"/>
        <v>0</v>
      </c>
    </row>
    <row r="32" spans="1:12" x14ac:dyDescent="0.25">
      <c r="A32" s="71" t="s">
        <v>303</v>
      </c>
      <c r="B32" s="70">
        <v>1</v>
      </c>
      <c r="C32" s="70">
        <v>0</v>
      </c>
      <c r="D32" s="70"/>
      <c r="E32" s="70"/>
      <c r="F32" s="195">
        <v>0</v>
      </c>
      <c r="G32" s="195">
        <v>0</v>
      </c>
      <c r="H32" s="204">
        <f t="shared" si="0"/>
        <v>1</v>
      </c>
      <c r="I32" s="53"/>
      <c r="J32" s="53"/>
      <c r="K32" s="70">
        <f t="shared" si="1"/>
        <v>1</v>
      </c>
      <c r="L32" s="70">
        <f t="shared" si="2"/>
        <v>0</v>
      </c>
    </row>
    <row r="33" spans="1:12" x14ac:dyDescent="0.25">
      <c r="A33" s="71" t="s">
        <v>292</v>
      </c>
      <c r="B33" s="70">
        <v>1</v>
      </c>
      <c r="C33" s="70">
        <v>0</v>
      </c>
      <c r="D33" s="70"/>
      <c r="E33" s="70"/>
      <c r="F33" s="195">
        <v>0</v>
      </c>
      <c r="G33" s="195">
        <v>0</v>
      </c>
      <c r="H33" s="204">
        <f t="shared" si="0"/>
        <v>1</v>
      </c>
      <c r="I33" s="70"/>
      <c r="J33" s="70"/>
      <c r="K33" s="70">
        <f t="shared" si="1"/>
        <v>1</v>
      </c>
      <c r="L33" s="70">
        <f t="shared" si="2"/>
        <v>0</v>
      </c>
    </row>
    <row r="34" spans="1:12" x14ac:dyDescent="0.25">
      <c r="A34" s="71" t="s">
        <v>106</v>
      </c>
      <c r="B34" s="70">
        <v>5</v>
      </c>
      <c r="C34" s="70">
        <v>1</v>
      </c>
      <c r="D34" s="70"/>
      <c r="E34" s="70"/>
      <c r="F34" s="70">
        <v>1</v>
      </c>
      <c r="G34" s="70">
        <v>2</v>
      </c>
      <c r="H34" s="204">
        <f t="shared" si="0"/>
        <v>9</v>
      </c>
      <c r="I34" s="70"/>
      <c r="J34" s="70"/>
      <c r="K34" s="70">
        <f t="shared" si="1"/>
        <v>6</v>
      </c>
      <c r="L34" s="70">
        <f t="shared" si="2"/>
        <v>3</v>
      </c>
    </row>
    <row r="35" spans="1:12" x14ac:dyDescent="0.25">
      <c r="A35" s="36" t="s">
        <v>30</v>
      </c>
      <c r="B35" s="70">
        <v>1</v>
      </c>
      <c r="C35" s="70">
        <v>0</v>
      </c>
      <c r="D35" s="70"/>
      <c r="E35" s="70"/>
      <c r="F35" s="70">
        <v>1</v>
      </c>
      <c r="G35" s="70">
        <v>0</v>
      </c>
      <c r="H35" s="204">
        <f t="shared" si="0"/>
        <v>2</v>
      </c>
      <c r="I35" s="70"/>
      <c r="J35" s="70"/>
      <c r="K35" s="70">
        <f t="shared" si="1"/>
        <v>2</v>
      </c>
      <c r="L35" s="70">
        <f t="shared" si="2"/>
        <v>0</v>
      </c>
    </row>
    <row r="36" spans="1:12" x14ac:dyDescent="0.25">
      <c r="A36" s="71" t="s">
        <v>41</v>
      </c>
      <c r="B36" s="70">
        <v>1</v>
      </c>
      <c r="C36" s="70">
        <v>0</v>
      </c>
      <c r="D36" s="70"/>
      <c r="E36" s="70"/>
      <c r="F36" s="70">
        <v>1</v>
      </c>
      <c r="G36" s="70">
        <v>0</v>
      </c>
      <c r="H36" s="204">
        <f t="shared" si="0"/>
        <v>2</v>
      </c>
      <c r="I36" s="70"/>
      <c r="J36" s="70"/>
      <c r="K36" s="70">
        <f t="shared" si="1"/>
        <v>2</v>
      </c>
      <c r="L36" s="70">
        <f t="shared" si="2"/>
        <v>0</v>
      </c>
    </row>
    <row r="37" spans="1:12" x14ac:dyDescent="0.25">
      <c r="A37" s="71" t="s">
        <v>73</v>
      </c>
      <c r="B37" s="70">
        <v>0</v>
      </c>
      <c r="C37" s="70">
        <v>2</v>
      </c>
      <c r="D37" s="70"/>
      <c r="E37" s="70"/>
      <c r="F37" s="195">
        <v>0</v>
      </c>
      <c r="G37" s="195">
        <v>0</v>
      </c>
      <c r="H37" s="204">
        <f t="shared" si="0"/>
        <v>2</v>
      </c>
      <c r="I37" s="70"/>
      <c r="J37" s="70"/>
      <c r="K37" s="70">
        <f t="shared" si="1"/>
        <v>0</v>
      </c>
      <c r="L37" s="70">
        <f t="shared" si="2"/>
        <v>2</v>
      </c>
    </row>
    <row r="38" spans="1:12" x14ac:dyDescent="0.25">
      <c r="A38" s="71" t="s">
        <v>140</v>
      </c>
      <c r="B38" s="70">
        <v>8</v>
      </c>
      <c r="C38" s="70">
        <v>1</v>
      </c>
      <c r="D38" s="70"/>
      <c r="E38" s="70"/>
      <c r="F38" s="70">
        <v>2</v>
      </c>
      <c r="G38" s="70">
        <v>4</v>
      </c>
      <c r="H38" s="204">
        <f t="shared" si="0"/>
        <v>15</v>
      </c>
      <c r="I38" s="70"/>
      <c r="J38" s="70"/>
      <c r="K38" s="70">
        <f t="shared" si="1"/>
        <v>10</v>
      </c>
      <c r="L38" s="70">
        <f t="shared" si="2"/>
        <v>5</v>
      </c>
    </row>
    <row r="39" spans="1:12" x14ac:dyDescent="0.25">
      <c r="A39" s="71" t="s">
        <v>214</v>
      </c>
      <c r="B39" s="70">
        <v>0</v>
      </c>
      <c r="C39" s="70">
        <v>0</v>
      </c>
      <c r="D39" s="70"/>
      <c r="E39" s="70"/>
      <c r="F39" s="70">
        <v>13</v>
      </c>
      <c r="G39" s="70">
        <v>23</v>
      </c>
      <c r="H39" s="216">
        <f t="shared" si="0"/>
        <v>36</v>
      </c>
      <c r="I39" s="70"/>
      <c r="J39" s="70"/>
      <c r="K39" s="70">
        <f t="shared" si="1"/>
        <v>13</v>
      </c>
      <c r="L39" s="218">
        <f t="shared" si="2"/>
        <v>23</v>
      </c>
    </row>
    <row r="40" spans="1:12" x14ac:dyDescent="0.25">
      <c r="A40" s="189" t="s">
        <v>356</v>
      </c>
      <c r="B40" s="70">
        <v>3</v>
      </c>
      <c r="C40" s="70">
        <v>0</v>
      </c>
      <c r="D40" s="70"/>
      <c r="E40" s="70"/>
      <c r="F40" s="195">
        <v>0</v>
      </c>
      <c r="G40" s="195">
        <v>0</v>
      </c>
      <c r="H40" s="204">
        <f t="shared" si="0"/>
        <v>3</v>
      </c>
      <c r="I40" s="70"/>
      <c r="J40" s="70"/>
      <c r="K40" s="70">
        <f t="shared" si="1"/>
        <v>3</v>
      </c>
      <c r="L40" s="70">
        <f t="shared" si="2"/>
        <v>0</v>
      </c>
    </row>
    <row r="41" spans="1:12" x14ac:dyDescent="0.25">
      <c r="A41" s="71" t="s">
        <v>42</v>
      </c>
      <c r="B41" s="70">
        <v>1</v>
      </c>
      <c r="C41" s="70">
        <v>0</v>
      </c>
      <c r="D41" s="70"/>
      <c r="E41" s="70"/>
      <c r="F41" s="70">
        <v>0</v>
      </c>
      <c r="G41" s="70">
        <v>0</v>
      </c>
      <c r="H41" s="204">
        <f t="shared" si="0"/>
        <v>1</v>
      </c>
      <c r="I41" s="70"/>
      <c r="J41" s="70"/>
      <c r="K41" s="70">
        <f t="shared" si="1"/>
        <v>1</v>
      </c>
      <c r="L41" s="70">
        <f t="shared" si="2"/>
        <v>0</v>
      </c>
    </row>
    <row r="42" spans="1:12" x14ac:dyDescent="0.25">
      <c r="A42" s="71" t="s">
        <v>224</v>
      </c>
      <c r="B42" s="195">
        <v>0</v>
      </c>
      <c r="C42" s="195">
        <v>0</v>
      </c>
      <c r="D42" s="70"/>
      <c r="E42" s="70"/>
      <c r="F42" s="70">
        <v>1</v>
      </c>
      <c r="G42" s="70">
        <v>0</v>
      </c>
      <c r="H42" s="204">
        <f t="shared" si="0"/>
        <v>1</v>
      </c>
      <c r="I42" s="70"/>
      <c r="J42" s="70"/>
      <c r="K42" s="70">
        <f t="shared" si="1"/>
        <v>1</v>
      </c>
      <c r="L42" s="70">
        <f t="shared" si="2"/>
        <v>0</v>
      </c>
    </row>
    <row r="43" spans="1:12" x14ac:dyDescent="0.25">
      <c r="A43" s="71" t="s">
        <v>313</v>
      </c>
      <c r="B43" s="70">
        <v>2</v>
      </c>
      <c r="C43" s="70">
        <v>0</v>
      </c>
      <c r="D43" s="70"/>
      <c r="E43" s="70"/>
      <c r="F43" s="70">
        <v>1</v>
      </c>
      <c r="G43" s="70">
        <v>0</v>
      </c>
      <c r="H43" s="204">
        <f t="shared" si="0"/>
        <v>3</v>
      </c>
      <c r="I43" s="70"/>
      <c r="J43" s="70"/>
      <c r="K43" s="70">
        <f t="shared" si="1"/>
        <v>3</v>
      </c>
      <c r="L43" s="70">
        <f t="shared" si="2"/>
        <v>0</v>
      </c>
    </row>
    <row r="44" spans="1:12" x14ac:dyDescent="0.25">
      <c r="A44" s="71" t="s">
        <v>310</v>
      </c>
      <c r="B44" s="70">
        <v>1</v>
      </c>
      <c r="C44" s="70">
        <v>0</v>
      </c>
      <c r="D44" s="70"/>
      <c r="E44" s="70"/>
      <c r="F44" s="195">
        <v>0</v>
      </c>
      <c r="G44" s="195">
        <v>0</v>
      </c>
      <c r="H44" s="204">
        <f t="shared" si="0"/>
        <v>1</v>
      </c>
      <c r="I44" s="70"/>
      <c r="J44" s="70"/>
      <c r="K44" s="70">
        <f t="shared" si="1"/>
        <v>1</v>
      </c>
      <c r="L44" s="70">
        <f t="shared" si="2"/>
        <v>0</v>
      </c>
    </row>
    <row r="45" spans="1:12" x14ac:dyDescent="0.25">
      <c r="A45" s="36" t="s">
        <v>57</v>
      </c>
      <c r="B45" s="70">
        <v>0</v>
      </c>
      <c r="C45" s="70">
        <v>2</v>
      </c>
      <c r="D45" s="70"/>
      <c r="E45" s="70"/>
      <c r="F45" s="70">
        <v>1</v>
      </c>
      <c r="G45" s="70">
        <v>0</v>
      </c>
      <c r="H45" s="204">
        <f t="shared" si="0"/>
        <v>3</v>
      </c>
      <c r="I45" s="70"/>
      <c r="J45" s="70"/>
      <c r="K45" s="70">
        <f t="shared" si="1"/>
        <v>1</v>
      </c>
      <c r="L45" s="70">
        <f t="shared" si="2"/>
        <v>2</v>
      </c>
    </row>
    <row r="46" spans="1:12" x14ac:dyDescent="0.25">
      <c r="A46" s="71" t="s">
        <v>147</v>
      </c>
      <c r="B46" s="70">
        <v>2</v>
      </c>
      <c r="C46" s="70">
        <v>0</v>
      </c>
      <c r="D46" s="70"/>
      <c r="E46" s="70"/>
      <c r="F46" s="70">
        <v>0</v>
      </c>
      <c r="G46" s="70">
        <v>1</v>
      </c>
      <c r="H46" s="204">
        <f t="shared" si="0"/>
        <v>3</v>
      </c>
      <c r="I46" s="70"/>
      <c r="J46" s="70"/>
      <c r="K46" s="70">
        <f t="shared" si="1"/>
        <v>2</v>
      </c>
      <c r="L46" s="70">
        <f t="shared" si="2"/>
        <v>1</v>
      </c>
    </row>
    <row r="47" spans="1:12" x14ac:dyDescent="0.25">
      <c r="A47" s="71" t="s">
        <v>188</v>
      </c>
      <c r="B47" s="70">
        <v>0</v>
      </c>
      <c r="C47" s="70">
        <v>0</v>
      </c>
      <c r="D47" s="70"/>
      <c r="E47" s="70"/>
      <c r="F47" s="70">
        <v>0</v>
      </c>
      <c r="G47" s="70">
        <v>2</v>
      </c>
      <c r="H47" s="204">
        <f t="shared" si="0"/>
        <v>2</v>
      </c>
      <c r="I47" s="70"/>
      <c r="J47" s="70"/>
      <c r="K47" s="70">
        <f t="shared" si="1"/>
        <v>0</v>
      </c>
      <c r="L47" s="70">
        <f t="shared" si="2"/>
        <v>2</v>
      </c>
    </row>
    <row r="48" spans="1:12" x14ac:dyDescent="0.25">
      <c r="A48" s="69" t="s">
        <v>338</v>
      </c>
      <c r="B48" s="70">
        <v>1</v>
      </c>
      <c r="C48" s="70">
        <v>0</v>
      </c>
      <c r="D48" s="70"/>
      <c r="E48" s="70"/>
      <c r="F48" s="195">
        <v>0</v>
      </c>
      <c r="G48" s="195">
        <v>0</v>
      </c>
      <c r="H48" s="204">
        <f t="shared" si="0"/>
        <v>1</v>
      </c>
      <c r="I48" s="70"/>
      <c r="J48" s="70"/>
      <c r="K48" s="70">
        <f t="shared" si="1"/>
        <v>1</v>
      </c>
      <c r="L48" s="70">
        <f t="shared" si="2"/>
        <v>0</v>
      </c>
    </row>
    <row r="49" spans="1:15" x14ac:dyDescent="0.25">
      <c r="A49" s="71" t="s">
        <v>150</v>
      </c>
      <c r="B49" s="70">
        <v>0</v>
      </c>
      <c r="C49" s="70">
        <v>0</v>
      </c>
      <c r="D49" s="70"/>
      <c r="E49" s="70"/>
      <c r="F49" s="70">
        <v>0</v>
      </c>
      <c r="G49" s="70">
        <v>1</v>
      </c>
      <c r="H49" s="204">
        <f t="shared" si="0"/>
        <v>1</v>
      </c>
      <c r="I49" s="70"/>
      <c r="J49" s="70"/>
      <c r="K49" s="70">
        <f t="shared" si="1"/>
        <v>0</v>
      </c>
      <c r="L49" s="70">
        <f t="shared" si="2"/>
        <v>1</v>
      </c>
    </row>
    <row r="50" spans="1:15" x14ac:dyDescent="0.25">
      <c r="A50" s="71" t="s">
        <v>74</v>
      </c>
      <c r="B50" s="70">
        <v>1</v>
      </c>
      <c r="C50" s="70">
        <v>0</v>
      </c>
      <c r="D50" s="70"/>
      <c r="E50" s="70"/>
      <c r="F50" s="195">
        <v>0</v>
      </c>
      <c r="G50" s="195">
        <v>0</v>
      </c>
      <c r="H50" s="204">
        <f t="shared" si="0"/>
        <v>1</v>
      </c>
      <c r="I50" s="70"/>
      <c r="J50" s="70"/>
      <c r="K50" s="70">
        <f t="shared" si="1"/>
        <v>1</v>
      </c>
      <c r="L50" s="70">
        <f t="shared" si="2"/>
        <v>0</v>
      </c>
    </row>
    <row r="51" spans="1:15" x14ac:dyDescent="0.25">
      <c r="A51" s="71" t="s">
        <v>76</v>
      </c>
      <c r="B51" s="70">
        <v>1</v>
      </c>
      <c r="C51" s="70">
        <v>0</v>
      </c>
      <c r="D51" s="70"/>
      <c r="E51" s="70"/>
      <c r="F51" s="195">
        <v>0</v>
      </c>
      <c r="G51" s="195">
        <v>0</v>
      </c>
      <c r="H51" s="204">
        <f t="shared" si="0"/>
        <v>1</v>
      </c>
      <c r="I51" s="70"/>
      <c r="J51" s="70"/>
      <c r="K51" s="70">
        <f t="shared" si="1"/>
        <v>1</v>
      </c>
      <c r="L51" s="70">
        <f t="shared" si="2"/>
        <v>0</v>
      </c>
    </row>
    <row r="52" spans="1:15" x14ac:dyDescent="0.25">
      <c r="A52" s="68" t="s">
        <v>355</v>
      </c>
      <c r="B52" s="70">
        <v>2</v>
      </c>
      <c r="C52" s="70">
        <v>0</v>
      </c>
      <c r="D52" s="70"/>
      <c r="E52" s="70"/>
      <c r="F52" s="195">
        <v>0</v>
      </c>
      <c r="G52" s="195">
        <v>0</v>
      </c>
      <c r="H52" s="204">
        <f t="shared" si="0"/>
        <v>2</v>
      </c>
      <c r="I52" s="70"/>
      <c r="J52" s="70"/>
      <c r="K52" s="70">
        <f t="shared" si="1"/>
        <v>2</v>
      </c>
      <c r="L52" s="70">
        <f t="shared" si="2"/>
        <v>0</v>
      </c>
    </row>
    <row r="53" spans="1:15" x14ac:dyDescent="0.25">
      <c r="A53" s="71" t="s">
        <v>241</v>
      </c>
      <c r="B53" s="70">
        <v>2</v>
      </c>
      <c r="C53" s="70">
        <v>2</v>
      </c>
      <c r="D53" s="70"/>
      <c r="E53" s="70"/>
      <c r="F53" s="70">
        <v>0</v>
      </c>
      <c r="G53" s="70">
        <v>3</v>
      </c>
      <c r="H53" s="204">
        <f t="shared" si="0"/>
        <v>7</v>
      </c>
      <c r="I53" s="70"/>
      <c r="J53" s="70"/>
      <c r="K53" s="70">
        <f t="shared" si="1"/>
        <v>2</v>
      </c>
      <c r="L53" s="70">
        <f t="shared" si="2"/>
        <v>5</v>
      </c>
    </row>
    <row r="54" spans="1:15" x14ac:dyDescent="0.25">
      <c r="A54" s="71" t="s">
        <v>300</v>
      </c>
      <c r="B54" s="106">
        <v>1</v>
      </c>
      <c r="C54" s="106">
        <v>0</v>
      </c>
      <c r="D54" s="70"/>
      <c r="E54" s="70"/>
      <c r="F54" s="196">
        <v>0</v>
      </c>
      <c r="G54" s="196">
        <v>0</v>
      </c>
      <c r="H54" s="204">
        <f t="shared" si="0"/>
        <v>1</v>
      </c>
      <c r="I54" s="70"/>
      <c r="J54" s="70"/>
      <c r="K54" s="106">
        <f t="shared" si="1"/>
        <v>1</v>
      </c>
      <c r="L54" s="106">
        <f t="shared" si="2"/>
        <v>0</v>
      </c>
    </row>
    <row r="55" spans="1:15" x14ac:dyDescent="0.25">
      <c r="A55" s="71"/>
      <c r="B55" s="70">
        <f>SUM(B2:B54)</f>
        <v>73</v>
      </c>
      <c r="C55" s="70">
        <f>SUM(C2:C54)</f>
        <v>19</v>
      </c>
      <c r="D55" s="70"/>
      <c r="E55" s="70"/>
      <c r="F55" s="70">
        <f>SUM(F2:F54)</f>
        <v>89</v>
      </c>
      <c r="G55" s="70">
        <f>SUM(G2:G54)</f>
        <v>94</v>
      </c>
      <c r="H55" s="70"/>
      <c r="J55" s="70"/>
      <c r="K55" s="70">
        <f>B55+F55</f>
        <v>162</v>
      </c>
      <c r="L55" s="70">
        <f>C55+G55</f>
        <v>113</v>
      </c>
    </row>
    <row r="56" spans="1:15" x14ac:dyDescent="0.25">
      <c r="B56" s="70"/>
      <c r="C56" s="70"/>
      <c r="D56" s="70"/>
      <c r="E56" s="70"/>
      <c r="F56" s="70"/>
      <c r="G56" s="70"/>
      <c r="H56" s="70"/>
      <c r="I56" s="70">
        <f>B55+C55+F55+G55</f>
        <v>275</v>
      </c>
      <c r="J56" s="70"/>
      <c r="K56" s="70"/>
      <c r="L56" s="70"/>
    </row>
    <row r="57" spans="1:15" x14ac:dyDescent="0.25">
      <c r="A57" s="71" t="s">
        <v>328</v>
      </c>
      <c r="B57" s="70"/>
      <c r="C57" s="70"/>
      <c r="D57" s="70"/>
      <c r="E57" s="70"/>
      <c r="F57" s="70"/>
      <c r="G57" s="70"/>
      <c r="H57" s="70"/>
      <c r="I57" s="70">
        <f>B58+C58+F58+G58</f>
        <v>156</v>
      </c>
      <c r="J57" s="70"/>
      <c r="K57" s="70"/>
      <c r="L57" s="70"/>
    </row>
    <row r="58" spans="1:15" x14ac:dyDescent="0.25">
      <c r="B58" s="70">
        <v>70</v>
      </c>
      <c r="C58" s="70">
        <v>18</v>
      </c>
      <c r="D58" s="70"/>
      <c r="E58" s="70"/>
      <c r="F58" s="70">
        <v>40</v>
      </c>
      <c r="G58" s="70">
        <v>28</v>
      </c>
      <c r="H58" s="70"/>
      <c r="I58" s="70"/>
      <c r="J58" s="70"/>
      <c r="K58" s="70">
        <f>B58+F58</f>
        <v>110</v>
      </c>
      <c r="L58" s="70">
        <f>C58+G58</f>
        <v>46</v>
      </c>
    </row>
    <row r="59" spans="1:15" x14ac:dyDescent="0.25"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</row>
    <row r="61" spans="1:15" x14ac:dyDescent="0.25">
      <c r="A61" s="69" t="s">
        <v>320</v>
      </c>
      <c r="H61" s="69" t="s">
        <v>320</v>
      </c>
      <c r="M61" s="69" t="s">
        <v>320</v>
      </c>
    </row>
    <row r="63" spans="1:15" x14ac:dyDescent="0.25">
      <c r="B63" s="70" t="s">
        <v>316</v>
      </c>
      <c r="D63" s="70" t="s">
        <v>318</v>
      </c>
      <c r="I63" s="69" t="s">
        <v>317</v>
      </c>
      <c r="K63" s="69" t="s">
        <v>319</v>
      </c>
      <c r="N63" s="69" t="s">
        <v>369</v>
      </c>
    </row>
    <row r="64" spans="1:15" x14ac:dyDescent="0.25">
      <c r="A64" s="69" t="s">
        <v>321</v>
      </c>
      <c r="B64" s="70">
        <v>2.8992</v>
      </c>
      <c r="C64" s="69" t="s">
        <v>321</v>
      </c>
      <c r="D64" s="70">
        <v>2.2602000000000002</v>
      </c>
      <c r="H64" s="69" t="s">
        <v>321</v>
      </c>
      <c r="I64" s="69">
        <v>2.7239</v>
      </c>
      <c r="J64" s="69" t="s">
        <v>321</v>
      </c>
      <c r="K64" s="69">
        <v>2.5287000000000002</v>
      </c>
      <c r="M64" s="69" t="s">
        <v>321</v>
      </c>
      <c r="N64" s="69">
        <v>3.2955000000000001</v>
      </c>
      <c r="O64" s="69" t="s">
        <v>321</v>
      </c>
    </row>
    <row r="65" spans="1:15" x14ac:dyDescent="0.25">
      <c r="A65" s="69" t="s">
        <v>322</v>
      </c>
      <c r="B65" s="70">
        <v>1.6154999999999999E-2</v>
      </c>
      <c r="C65" s="69" t="s">
        <v>322</v>
      </c>
      <c r="D65" s="70">
        <v>2.8521000000000001E-2</v>
      </c>
      <c r="H65" s="69" t="s">
        <v>322</v>
      </c>
      <c r="I65" s="69">
        <v>1.2456E-2</v>
      </c>
      <c r="J65" s="69" t="s">
        <v>322</v>
      </c>
      <c r="K65" s="69">
        <v>1.372E-2</v>
      </c>
      <c r="M65" s="69" t="s">
        <v>322</v>
      </c>
      <c r="N65" s="69">
        <v>7.1771999999999999E-3</v>
      </c>
      <c r="O65" s="69" t="s">
        <v>322</v>
      </c>
    </row>
    <row r="66" spans="1:15" x14ac:dyDescent="0.25">
      <c r="B66" s="70"/>
      <c r="D66" s="70"/>
    </row>
    <row r="67" spans="1:15" x14ac:dyDescent="0.25">
      <c r="A67" s="69" t="s">
        <v>323</v>
      </c>
      <c r="B67" s="70">
        <v>3.0228999999999999</v>
      </c>
      <c r="D67" s="70"/>
      <c r="H67" s="69" t="s">
        <v>323</v>
      </c>
      <c r="I67" s="69">
        <v>1.2064999999999999</v>
      </c>
      <c r="M67" s="69" t="s">
        <v>323</v>
      </c>
      <c r="N67" s="69">
        <v>3.8433000000000002</v>
      </c>
    </row>
    <row r="68" spans="1:15" x14ac:dyDescent="0.25">
      <c r="A68" s="69" t="s">
        <v>324</v>
      </c>
      <c r="B68" s="70">
        <v>43.027000000000001</v>
      </c>
      <c r="D68" s="70"/>
      <c r="H68" s="69" t="s">
        <v>324</v>
      </c>
      <c r="I68" s="69">
        <v>184.98</v>
      </c>
      <c r="M68" s="69" t="s">
        <v>324</v>
      </c>
      <c r="N68" s="69">
        <v>248.1</v>
      </c>
    </row>
    <row r="69" spans="1:15" x14ac:dyDescent="0.25">
      <c r="A69" s="69" t="s">
        <v>325</v>
      </c>
      <c r="B69" s="70">
        <v>4.2069000000000004E-3</v>
      </c>
      <c r="D69" s="70"/>
      <c r="H69" s="69" t="s">
        <v>325</v>
      </c>
      <c r="I69" s="69">
        <v>0.22917000000000001</v>
      </c>
      <c r="M69" s="205" t="s">
        <v>325</v>
      </c>
      <c r="N69" s="205">
        <v>1.5431E-4</v>
      </c>
    </row>
    <row r="70" spans="1:15" x14ac:dyDescent="0.25">
      <c r="B70" s="70"/>
      <c r="D70" s="70"/>
    </row>
    <row r="71" spans="1:15" x14ac:dyDescent="0.25">
      <c r="A71" s="69" t="s">
        <v>326</v>
      </c>
      <c r="B71" s="70"/>
      <c r="D71" s="70"/>
      <c r="H71" s="69" t="s">
        <v>326</v>
      </c>
      <c r="M71" s="69" t="s">
        <v>326</v>
      </c>
    </row>
    <row r="72" spans="1:15" x14ac:dyDescent="0.25">
      <c r="B72" s="70"/>
      <c r="D72" s="70"/>
    </row>
    <row r="73" spans="1:15" x14ac:dyDescent="0.25">
      <c r="A73" s="69" t="s">
        <v>327</v>
      </c>
      <c r="B73" s="70">
        <v>8.3504999999999996E-2</v>
      </c>
      <c r="C73" s="69" t="s">
        <v>327</v>
      </c>
      <c r="D73" s="70">
        <v>0.11910999999999999</v>
      </c>
      <c r="H73" s="69" t="s">
        <v>327</v>
      </c>
      <c r="I73" s="69">
        <v>9.5315999999999998E-2</v>
      </c>
      <c r="J73" s="69" t="s">
        <v>327</v>
      </c>
      <c r="K73" s="69">
        <v>0.12739</v>
      </c>
      <c r="M73" s="69" t="s">
        <v>327</v>
      </c>
      <c r="N73" s="69">
        <v>5.4565000000000002E-2</v>
      </c>
      <c r="O73" s="69" t="s">
        <v>327</v>
      </c>
    </row>
    <row r="74" spans="1:15" x14ac:dyDescent="0.25">
      <c r="A74" s="69" t="s">
        <v>322</v>
      </c>
      <c r="B74" s="70">
        <v>2.5251000000000001E-4</v>
      </c>
      <c r="C74" s="69" t="s">
        <v>322</v>
      </c>
      <c r="D74" s="70">
        <v>1.3002000000000001E-3</v>
      </c>
      <c r="H74" s="69" t="s">
        <v>322</v>
      </c>
      <c r="I74" s="69">
        <v>2.2675000000000001E-4</v>
      </c>
      <c r="J74" s="69" t="s">
        <v>322</v>
      </c>
      <c r="K74" s="69">
        <v>4.0775000000000002E-4</v>
      </c>
      <c r="M74" s="69" t="s">
        <v>322</v>
      </c>
      <c r="N74" s="206">
        <v>3.9669000000000003E-5</v>
      </c>
      <c r="O74" s="69" t="s">
        <v>322</v>
      </c>
    </row>
    <row r="75" spans="1:15" x14ac:dyDescent="0.25">
      <c r="B75" s="70"/>
    </row>
    <row r="76" spans="1:15" x14ac:dyDescent="0.25">
      <c r="A76" s="69" t="s">
        <v>323</v>
      </c>
      <c r="B76" s="70">
        <v>-0.90366999999999997</v>
      </c>
      <c r="H76" s="69" t="s">
        <v>323</v>
      </c>
      <c r="I76" s="69">
        <v>-1.2732000000000001</v>
      </c>
      <c r="M76" s="69" t="s">
        <v>323</v>
      </c>
      <c r="N76" s="69">
        <v>-2.5487000000000002</v>
      </c>
    </row>
    <row r="77" spans="1:15" x14ac:dyDescent="0.25">
      <c r="A77" s="69" t="s">
        <v>324</v>
      </c>
      <c r="B77" s="70">
        <v>26.834</v>
      </c>
      <c r="H77" s="69" t="s">
        <v>324</v>
      </c>
      <c r="I77" s="69">
        <v>174.31</v>
      </c>
      <c r="M77" s="69" t="s">
        <v>324</v>
      </c>
      <c r="N77" s="69">
        <v>156.56</v>
      </c>
    </row>
    <row r="78" spans="1:15" x14ac:dyDescent="0.25">
      <c r="A78" s="69" t="s">
        <v>325</v>
      </c>
      <c r="B78" s="70">
        <v>0.37420999999999999</v>
      </c>
      <c r="H78" s="69" t="s">
        <v>325</v>
      </c>
      <c r="I78" s="69">
        <v>0.20463999999999999</v>
      </c>
      <c r="M78" s="205" t="s">
        <v>325</v>
      </c>
      <c r="N78" s="205">
        <v>1.1775000000000001E-2</v>
      </c>
    </row>
  </sheetData>
  <sortState xmlns:xlrd2="http://schemas.microsoft.com/office/spreadsheetml/2017/richdata2" ref="A2:L59">
    <sortCondition ref="A2:A59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5"/>
  <sheetViews>
    <sheetView topLeftCell="A18" zoomScale="63" zoomScaleNormal="100" workbookViewId="0">
      <selection activeCell="R20" sqref="R20"/>
    </sheetView>
  </sheetViews>
  <sheetFormatPr baseColWidth="10" defaultRowHeight="15" x14ac:dyDescent="0.25"/>
  <cols>
    <col min="1" max="1" width="15.5703125" customWidth="1"/>
    <col min="14" max="14" width="20" customWidth="1"/>
  </cols>
  <sheetData>
    <row r="1" spans="1:16" ht="19.5" thickBot="1" x14ac:dyDescent="0.35">
      <c r="A1" s="32" t="s">
        <v>6</v>
      </c>
      <c r="B1" s="70" t="s">
        <v>316</v>
      </c>
      <c r="C1" s="70" t="s">
        <v>318</v>
      </c>
      <c r="D1" s="70"/>
      <c r="E1" s="70"/>
      <c r="F1" s="70" t="s">
        <v>317</v>
      </c>
      <c r="G1" s="70" t="s">
        <v>319</v>
      </c>
      <c r="H1" s="70"/>
      <c r="I1" s="70"/>
      <c r="J1" s="70"/>
      <c r="K1" s="70" t="s">
        <v>369</v>
      </c>
      <c r="L1" s="70" t="s">
        <v>370</v>
      </c>
      <c r="N1" s="263"/>
      <c r="O1" s="264"/>
      <c r="P1" s="262"/>
    </row>
    <row r="2" spans="1:16" ht="19.5" thickBot="1" x14ac:dyDescent="0.35">
      <c r="A2" s="234" t="s">
        <v>207</v>
      </c>
      <c r="B2" s="70">
        <v>0</v>
      </c>
      <c r="C2" s="70">
        <v>0</v>
      </c>
      <c r="D2" s="70"/>
      <c r="E2" s="70"/>
      <c r="F2" s="70">
        <v>18</v>
      </c>
      <c r="G2" s="70">
        <v>21</v>
      </c>
      <c r="H2" s="216">
        <f t="shared" ref="H2:H33" si="0">(B2+C2+F2+G2)</f>
        <v>39</v>
      </c>
      <c r="I2" s="70"/>
      <c r="J2" s="70"/>
      <c r="K2" s="218">
        <f t="shared" ref="K2:K33" si="1">B2+F2</f>
        <v>18</v>
      </c>
      <c r="L2" s="235">
        <f t="shared" ref="L2:L33" si="2">C2+G2</f>
        <v>21</v>
      </c>
      <c r="N2" s="263"/>
      <c r="O2" s="70"/>
    </row>
    <row r="3" spans="1:16" ht="19.5" thickBot="1" x14ac:dyDescent="0.35">
      <c r="A3" s="229" t="s">
        <v>229</v>
      </c>
      <c r="B3" s="230">
        <v>13</v>
      </c>
      <c r="C3" s="230">
        <v>0</v>
      </c>
      <c r="D3" s="230"/>
      <c r="E3" s="230"/>
      <c r="F3" s="230">
        <v>5</v>
      </c>
      <c r="G3" s="230">
        <v>9</v>
      </c>
      <c r="H3" s="231">
        <f t="shared" si="0"/>
        <v>27</v>
      </c>
      <c r="I3" s="230"/>
      <c r="J3" s="230"/>
      <c r="K3" s="232">
        <f t="shared" si="1"/>
        <v>18</v>
      </c>
      <c r="L3" s="233">
        <f t="shared" si="2"/>
        <v>9</v>
      </c>
      <c r="N3" s="263"/>
      <c r="O3" s="70"/>
    </row>
    <row r="4" spans="1:16" ht="19.5" thickBot="1" x14ac:dyDescent="0.35">
      <c r="A4" s="234" t="s">
        <v>214</v>
      </c>
      <c r="B4" s="70">
        <v>0</v>
      </c>
      <c r="C4" s="70">
        <v>0</v>
      </c>
      <c r="D4" s="70"/>
      <c r="E4" s="70"/>
      <c r="F4" s="70">
        <v>13</v>
      </c>
      <c r="G4" s="70">
        <v>23</v>
      </c>
      <c r="H4" s="216">
        <f t="shared" si="0"/>
        <v>36</v>
      </c>
      <c r="I4" s="70"/>
      <c r="J4" s="70"/>
      <c r="K4" s="70">
        <f t="shared" si="1"/>
        <v>13</v>
      </c>
      <c r="L4" s="235">
        <f t="shared" si="2"/>
        <v>23</v>
      </c>
      <c r="N4" s="263"/>
      <c r="O4" s="70"/>
    </row>
    <row r="5" spans="1:16" ht="19.5" thickBot="1" x14ac:dyDescent="0.35">
      <c r="A5" s="234" t="s">
        <v>178</v>
      </c>
      <c r="B5" s="70">
        <v>2</v>
      </c>
      <c r="C5" s="70">
        <v>1</v>
      </c>
      <c r="D5" s="70"/>
      <c r="E5" s="70"/>
      <c r="F5" s="70">
        <v>9</v>
      </c>
      <c r="G5" s="70">
        <v>1</v>
      </c>
      <c r="H5" s="204">
        <f t="shared" si="0"/>
        <v>13</v>
      </c>
      <c r="I5" s="70"/>
      <c r="J5" s="70"/>
      <c r="K5" s="70">
        <f t="shared" si="1"/>
        <v>11</v>
      </c>
      <c r="L5" s="236">
        <f t="shared" si="2"/>
        <v>2</v>
      </c>
      <c r="N5" s="263"/>
      <c r="O5" s="70"/>
    </row>
    <row r="6" spans="1:16" ht="19.5" thickBot="1" x14ac:dyDescent="0.35">
      <c r="A6" s="234" t="s">
        <v>66</v>
      </c>
      <c r="B6" s="70">
        <v>11</v>
      </c>
      <c r="C6" s="70">
        <v>3</v>
      </c>
      <c r="D6" s="70"/>
      <c r="E6" s="70"/>
      <c r="F6" s="195">
        <v>0</v>
      </c>
      <c r="G6" s="195">
        <v>0</v>
      </c>
      <c r="H6" s="217">
        <f t="shared" si="0"/>
        <v>14</v>
      </c>
      <c r="I6" s="70"/>
      <c r="J6" s="70"/>
      <c r="K6" s="70">
        <f t="shared" si="1"/>
        <v>11</v>
      </c>
      <c r="L6" s="236">
        <f t="shared" si="2"/>
        <v>3</v>
      </c>
      <c r="N6" s="263"/>
      <c r="O6" s="70"/>
    </row>
    <row r="7" spans="1:16" ht="19.5" thickBot="1" x14ac:dyDescent="0.35">
      <c r="A7" s="234" t="s">
        <v>140</v>
      </c>
      <c r="B7" s="70">
        <v>8</v>
      </c>
      <c r="C7" s="70">
        <v>1</v>
      </c>
      <c r="D7" s="70"/>
      <c r="E7" s="70"/>
      <c r="F7" s="70">
        <v>2</v>
      </c>
      <c r="G7" s="70">
        <v>4</v>
      </c>
      <c r="H7" s="204">
        <f t="shared" si="0"/>
        <v>15</v>
      </c>
      <c r="I7" s="70"/>
      <c r="J7" s="70"/>
      <c r="K7" s="70">
        <f t="shared" si="1"/>
        <v>10</v>
      </c>
      <c r="L7" s="236">
        <f t="shared" si="2"/>
        <v>5</v>
      </c>
      <c r="N7" s="263"/>
      <c r="O7" s="70"/>
    </row>
    <row r="8" spans="1:16" ht="19.5" thickBot="1" x14ac:dyDescent="0.35">
      <c r="A8" s="234" t="s">
        <v>192</v>
      </c>
      <c r="B8" s="70">
        <v>1</v>
      </c>
      <c r="C8" s="70">
        <v>4</v>
      </c>
      <c r="D8" s="70"/>
      <c r="E8" s="70"/>
      <c r="F8" s="70">
        <v>6</v>
      </c>
      <c r="G8" s="70">
        <v>1</v>
      </c>
      <c r="H8" s="204">
        <f t="shared" si="0"/>
        <v>12</v>
      </c>
      <c r="I8" s="70"/>
      <c r="J8" s="70"/>
      <c r="K8" s="70">
        <f t="shared" si="1"/>
        <v>7</v>
      </c>
      <c r="L8" s="236">
        <f t="shared" si="2"/>
        <v>5</v>
      </c>
      <c r="N8" s="263"/>
      <c r="O8" s="70"/>
    </row>
    <row r="9" spans="1:16" ht="19.5" thickBot="1" x14ac:dyDescent="0.35">
      <c r="A9" s="234" t="s">
        <v>106</v>
      </c>
      <c r="B9" s="70">
        <v>5</v>
      </c>
      <c r="C9" s="70">
        <v>1</v>
      </c>
      <c r="D9" s="70"/>
      <c r="E9" s="70"/>
      <c r="F9" s="70">
        <v>1</v>
      </c>
      <c r="G9" s="70">
        <v>2</v>
      </c>
      <c r="H9" s="204">
        <f t="shared" si="0"/>
        <v>9</v>
      </c>
      <c r="I9" s="70"/>
      <c r="J9" s="70"/>
      <c r="K9" s="70">
        <f t="shared" si="1"/>
        <v>6</v>
      </c>
      <c r="L9" s="236">
        <f t="shared" si="2"/>
        <v>3</v>
      </c>
      <c r="N9" s="263"/>
      <c r="O9" s="70"/>
    </row>
    <row r="10" spans="1:16" ht="19.5" thickBot="1" x14ac:dyDescent="0.35">
      <c r="A10" s="234" t="s">
        <v>201</v>
      </c>
      <c r="B10" s="195">
        <v>0</v>
      </c>
      <c r="C10" s="195">
        <v>0</v>
      </c>
      <c r="D10" s="70"/>
      <c r="E10" s="70"/>
      <c r="F10" s="70">
        <v>6</v>
      </c>
      <c r="G10" s="70">
        <v>4</v>
      </c>
      <c r="H10" s="204">
        <f t="shared" si="0"/>
        <v>10</v>
      </c>
      <c r="I10" s="70"/>
      <c r="J10" s="70"/>
      <c r="K10" s="70">
        <f t="shared" si="1"/>
        <v>6</v>
      </c>
      <c r="L10" s="236">
        <f t="shared" si="2"/>
        <v>4</v>
      </c>
      <c r="N10" s="263"/>
      <c r="O10" s="70"/>
    </row>
    <row r="11" spans="1:16" ht="19.5" thickBot="1" x14ac:dyDescent="0.35">
      <c r="A11" s="234" t="s">
        <v>114</v>
      </c>
      <c r="B11" s="70">
        <v>0</v>
      </c>
      <c r="C11" s="70">
        <v>1</v>
      </c>
      <c r="D11" s="70"/>
      <c r="E11" s="70"/>
      <c r="F11" s="70">
        <v>6</v>
      </c>
      <c r="G11" s="70">
        <v>5</v>
      </c>
      <c r="H11" s="204">
        <f t="shared" si="0"/>
        <v>12</v>
      </c>
      <c r="I11" s="70"/>
      <c r="J11" s="70"/>
      <c r="K11" s="70">
        <f t="shared" si="1"/>
        <v>6</v>
      </c>
      <c r="L11" s="236">
        <f t="shared" si="2"/>
        <v>6</v>
      </c>
      <c r="N11" s="263"/>
      <c r="O11" s="70"/>
    </row>
    <row r="12" spans="1:16" ht="19.5" thickBot="1" x14ac:dyDescent="0.35">
      <c r="A12" s="234" t="s">
        <v>147</v>
      </c>
      <c r="B12" s="70">
        <v>2</v>
      </c>
      <c r="C12" s="70">
        <v>0</v>
      </c>
      <c r="D12" s="70"/>
      <c r="E12" s="70"/>
      <c r="F12" s="70">
        <v>0</v>
      </c>
      <c r="G12" s="70">
        <v>1</v>
      </c>
      <c r="H12" s="204">
        <f t="shared" si="0"/>
        <v>3</v>
      </c>
      <c r="I12" s="70"/>
      <c r="J12" s="70"/>
      <c r="K12" s="70">
        <f t="shared" si="1"/>
        <v>2</v>
      </c>
      <c r="L12" s="236">
        <f t="shared" si="2"/>
        <v>1</v>
      </c>
      <c r="N12" s="263"/>
      <c r="O12" s="70"/>
    </row>
    <row r="13" spans="1:16" ht="19.5" thickBot="1" x14ac:dyDescent="0.35">
      <c r="A13" s="234" t="s">
        <v>241</v>
      </c>
      <c r="B13" s="70">
        <v>2</v>
      </c>
      <c r="C13" s="70">
        <v>2</v>
      </c>
      <c r="D13" s="70"/>
      <c r="E13" s="70"/>
      <c r="F13" s="70">
        <v>0</v>
      </c>
      <c r="G13" s="70">
        <v>3</v>
      </c>
      <c r="H13" s="204">
        <f t="shared" si="0"/>
        <v>7</v>
      </c>
      <c r="I13" s="70"/>
      <c r="J13" s="70"/>
      <c r="K13" s="70">
        <f t="shared" si="1"/>
        <v>2</v>
      </c>
      <c r="L13" s="236">
        <f t="shared" si="2"/>
        <v>5</v>
      </c>
      <c r="N13" s="263"/>
      <c r="O13" s="70"/>
    </row>
    <row r="14" spans="1:16" ht="19.5" thickBot="1" x14ac:dyDescent="0.35">
      <c r="A14" s="234" t="s">
        <v>161</v>
      </c>
      <c r="B14" s="195">
        <v>0</v>
      </c>
      <c r="C14" s="195">
        <v>0</v>
      </c>
      <c r="D14" s="70"/>
      <c r="E14" s="70"/>
      <c r="F14" s="70">
        <v>1</v>
      </c>
      <c r="G14" s="70">
        <v>2</v>
      </c>
      <c r="H14" s="204">
        <f t="shared" si="0"/>
        <v>3</v>
      </c>
      <c r="I14" s="70"/>
      <c r="J14" s="70"/>
      <c r="K14" s="70">
        <f t="shared" si="1"/>
        <v>1</v>
      </c>
      <c r="L14" s="236">
        <f t="shared" si="2"/>
        <v>2</v>
      </c>
      <c r="N14" s="263"/>
      <c r="O14" s="70"/>
    </row>
    <row r="15" spans="1:16" ht="19.5" thickBot="1" x14ac:dyDescent="0.35">
      <c r="A15" s="237" t="s">
        <v>57</v>
      </c>
      <c r="B15" s="70">
        <v>0</v>
      </c>
      <c r="C15" s="70">
        <v>2</v>
      </c>
      <c r="D15" s="70"/>
      <c r="E15" s="70"/>
      <c r="F15" s="70">
        <v>1</v>
      </c>
      <c r="G15" s="70">
        <v>0</v>
      </c>
      <c r="H15" s="204">
        <f t="shared" si="0"/>
        <v>3</v>
      </c>
      <c r="I15" s="70"/>
      <c r="J15" s="70"/>
      <c r="K15" s="70">
        <f t="shared" si="1"/>
        <v>1</v>
      </c>
      <c r="L15" s="236">
        <f t="shared" si="2"/>
        <v>2</v>
      </c>
      <c r="N15" s="263"/>
      <c r="O15" s="70"/>
    </row>
    <row r="16" spans="1:16" ht="19.5" thickBot="1" x14ac:dyDescent="0.35">
      <c r="A16" s="234" t="s">
        <v>155</v>
      </c>
      <c r="B16" s="70">
        <v>1</v>
      </c>
      <c r="C16" s="70">
        <v>1</v>
      </c>
      <c r="D16" s="70"/>
      <c r="E16" s="70"/>
      <c r="F16" s="70">
        <v>0</v>
      </c>
      <c r="G16" s="70">
        <v>2</v>
      </c>
      <c r="H16" s="204">
        <f t="shared" si="0"/>
        <v>4</v>
      </c>
      <c r="I16" s="70"/>
      <c r="J16" s="70"/>
      <c r="K16" s="70">
        <f t="shared" si="1"/>
        <v>1</v>
      </c>
      <c r="L16" s="236">
        <f t="shared" si="2"/>
        <v>3</v>
      </c>
      <c r="N16" s="263"/>
      <c r="O16" s="70"/>
    </row>
    <row r="17" spans="1:15" ht="19.5" thickBot="1" x14ac:dyDescent="0.35">
      <c r="A17" s="234" t="s">
        <v>203</v>
      </c>
      <c r="B17" s="195">
        <v>0</v>
      </c>
      <c r="C17" s="195">
        <v>0</v>
      </c>
      <c r="D17" s="70"/>
      <c r="E17" s="70"/>
      <c r="F17" s="70">
        <v>1</v>
      </c>
      <c r="G17" s="70">
        <v>4</v>
      </c>
      <c r="H17" s="204">
        <f t="shared" si="0"/>
        <v>5</v>
      </c>
      <c r="I17" s="70"/>
      <c r="J17" s="70"/>
      <c r="K17" s="70">
        <f t="shared" si="1"/>
        <v>1</v>
      </c>
      <c r="L17" s="236">
        <f t="shared" si="2"/>
        <v>4</v>
      </c>
      <c r="N17" s="263"/>
      <c r="O17" s="70"/>
    </row>
    <row r="18" spans="1:15" ht="19.5" thickBot="1" x14ac:dyDescent="0.35">
      <c r="A18" s="238" t="s">
        <v>227</v>
      </c>
      <c r="B18" s="239">
        <v>0</v>
      </c>
      <c r="C18" s="239">
        <v>0</v>
      </c>
      <c r="D18" s="239"/>
      <c r="E18" s="239"/>
      <c r="F18" s="239">
        <v>0</v>
      </c>
      <c r="G18" s="239">
        <v>1</v>
      </c>
      <c r="H18" s="240">
        <f t="shared" si="0"/>
        <v>1</v>
      </c>
      <c r="I18" s="239"/>
      <c r="J18" s="239"/>
      <c r="K18" s="239">
        <f t="shared" si="1"/>
        <v>0</v>
      </c>
      <c r="L18" s="241">
        <f t="shared" si="2"/>
        <v>1</v>
      </c>
      <c r="N18" s="263"/>
      <c r="O18" s="70"/>
    </row>
    <row r="19" spans="1:15" ht="19.5" thickBot="1" x14ac:dyDescent="0.35">
      <c r="A19" s="242" t="s">
        <v>205</v>
      </c>
      <c r="B19" s="195">
        <v>0</v>
      </c>
      <c r="C19" s="195">
        <v>0</v>
      </c>
      <c r="D19" s="70"/>
      <c r="E19" s="70"/>
      <c r="F19" s="70">
        <v>0</v>
      </c>
      <c r="G19" s="70">
        <v>1</v>
      </c>
      <c r="H19" s="204">
        <f t="shared" si="0"/>
        <v>1</v>
      </c>
      <c r="I19" s="70"/>
      <c r="J19" s="70"/>
      <c r="K19" s="70">
        <f t="shared" si="1"/>
        <v>0</v>
      </c>
      <c r="L19" s="243">
        <f t="shared" si="2"/>
        <v>1</v>
      </c>
      <c r="N19" s="263"/>
      <c r="O19" s="70"/>
    </row>
    <row r="20" spans="1:15" ht="19.5" thickBot="1" x14ac:dyDescent="0.35">
      <c r="A20" s="242" t="s">
        <v>159</v>
      </c>
      <c r="B20" s="195">
        <v>0</v>
      </c>
      <c r="C20" s="195">
        <v>0</v>
      </c>
      <c r="D20" s="70"/>
      <c r="E20" s="70"/>
      <c r="F20" s="70">
        <v>0</v>
      </c>
      <c r="G20" s="70">
        <v>1</v>
      </c>
      <c r="H20" s="204">
        <f t="shared" si="0"/>
        <v>1</v>
      </c>
      <c r="I20" s="70"/>
      <c r="J20" s="70"/>
      <c r="K20" s="70">
        <f t="shared" si="1"/>
        <v>0</v>
      </c>
      <c r="L20" s="243">
        <f t="shared" si="2"/>
        <v>1</v>
      </c>
      <c r="N20" s="263"/>
      <c r="O20" s="70"/>
    </row>
    <row r="21" spans="1:15" ht="19.5" thickBot="1" x14ac:dyDescent="0.35">
      <c r="A21" s="242" t="s">
        <v>37</v>
      </c>
      <c r="B21" s="195">
        <v>0</v>
      </c>
      <c r="C21" s="195">
        <v>0</v>
      </c>
      <c r="D21" s="70"/>
      <c r="E21" s="70"/>
      <c r="F21" s="70">
        <v>0</v>
      </c>
      <c r="G21" s="70">
        <v>1</v>
      </c>
      <c r="H21" s="204">
        <f t="shared" si="0"/>
        <v>1</v>
      </c>
      <c r="I21" s="70"/>
      <c r="J21" s="70"/>
      <c r="K21" s="70">
        <f t="shared" si="1"/>
        <v>0</v>
      </c>
      <c r="L21" s="243">
        <f t="shared" si="2"/>
        <v>1</v>
      </c>
      <c r="N21" s="263"/>
      <c r="O21" s="70"/>
    </row>
    <row r="22" spans="1:15" ht="19.5" thickBot="1" x14ac:dyDescent="0.35">
      <c r="A22" s="242" t="s">
        <v>150</v>
      </c>
      <c r="B22" s="70">
        <v>0</v>
      </c>
      <c r="C22" s="70">
        <v>0</v>
      </c>
      <c r="D22" s="70"/>
      <c r="E22" s="70"/>
      <c r="F22" s="70">
        <v>0</v>
      </c>
      <c r="G22" s="70">
        <v>1</v>
      </c>
      <c r="H22" s="204">
        <f t="shared" si="0"/>
        <v>1</v>
      </c>
      <c r="I22" s="70"/>
      <c r="J22" s="70"/>
      <c r="K22" s="70">
        <f t="shared" si="1"/>
        <v>0</v>
      </c>
      <c r="L22" s="243">
        <f t="shared" si="2"/>
        <v>1</v>
      </c>
      <c r="N22" s="263"/>
      <c r="O22" s="70"/>
    </row>
    <row r="23" spans="1:15" ht="19.5" thickBot="1" x14ac:dyDescent="0.35">
      <c r="A23" s="242" t="s">
        <v>35</v>
      </c>
      <c r="B23" s="70">
        <v>0</v>
      </c>
      <c r="C23" s="70">
        <v>0</v>
      </c>
      <c r="D23" s="70"/>
      <c r="E23" s="70"/>
      <c r="F23" s="70">
        <v>0</v>
      </c>
      <c r="G23" s="70">
        <v>2</v>
      </c>
      <c r="H23" s="204">
        <f t="shared" si="0"/>
        <v>2</v>
      </c>
      <c r="I23" s="70"/>
      <c r="J23" s="70"/>
      <c r="K23" s="70">
        <f t="shared" si="1"/>
        <v>0</v>
      </c>
      <c r="L23" s="243">
        <f t="shared" si="2"/>
        <v>2</v>
      </c>
      <c r="N23" s="263"/>
      <c r="O23" s="70"/>
    </row>
    <row r="24" spans="1:15" ht="19.5" thickBot="1" x14ac:dyDescent="0.35">
      <c r="A24" s="242" t="s">
        <v>73</v>
      </c>
      <c r="B24" s="70">
        <v>0</v>
      </c>
      <c r="C24" s="70">
        <v>2</v>
      </c>
      <c r="D24" s="70"/>
      <c r="E24" s="70"/>
      <c r="F24" s="195">
        <v>0</v>
      </c>
      <c r="G24" s="195">
        <v>0</v>
      </c>
      <c r="H24" s="204">
        <f t="shared" si="0"/>
        <v>2</v>
      </c>
      <c r="I24" s="70"/>
      <c r="J24" s="70"/>
      <c r="K24" s="70">
        <f t="shared" si="1"/>
        <v>0</v>
      </c>
      <c r="L24" s="243">
        <f t="shared" si="2"/>
        <v>2</v>
      </c>
      <c r="N24" s="263"/>
      <c r="O24" s="70"/>
    </row>
    <row r="25" spans="1:15" ht="19.5" thickBot="1" x14ac:dyDescent="0.35">
      <c r="A25" s="242" t="s">
        <v>188</v>
      </c>
      <c r="B25" s="70">
        <v>0</v>
      </c>
      <c r="C25" s="70">
        <v>0</v>
      </c>
      <c r="D25" s="70"/>
      <c r="E25" s="70"/>
      <c r="F25" s="70">
        <v>0</v>
      </c>
      <c r="G25" s="70">
        <v>2</v>
      </c>
      <c r="H25" s="204">
        <f t="shared" si="0"/>
        <v>2</v>
      </c>
      <c r="I25" s="70"/>
      <c r="J25" s="70"/>
      <c r="K25" s="70">
        <f t="shared" si="1"/>
        <v>0</v>
      </c>
      <c r="L25" s="243">
        <f t="shared" si="2"/>
        <v>2</v>
      </c>
      <c r="N25" s="263"/>
      <c r="O25" s="70"/>
    </row>
    <row r="26" spans="1:15" ht="19.5" thickBot="1" x14ac:dyDescent="0.35">
      <c r="A26" s="244" t="s">
        <v>221</v>
      </c>
      <c r="B26" s="70">
        <v>0</v>
      </c>
      <c r="C26" s="70">
        <v>1</v>
      </c>
      <c r="D26" s="70"/>
      <c r="E26" s="70"/>
      <c r="F26" s="70">
        <v>0</v>
      </c>
      <c r="G26" s="70">
        <v>3</v>
      </c>
      <c r="H26" s="204">
        <f t="shared" si="0"/>
        <v>4</v>
      </c>
      <c r="I26" s="70"/>
      <c r="J26" s="70"/>
      <c r="K26" s="70">
        <f t="shared" si="1"/>
        <v>0</v>
      </c>
      <c r="L26" s="243">
        <f t="shared" si="2"/>
        <v>4</v>
      </c>
      <c r="N26" s="263"/>
      <c r="O26" s="70"/>
    </row>
    <row r="27" spans="1:15" ht="19.5" thickBot="1" x14ac:dyDescent="0.35">
      <c r="A27" s="245" t="s">
        <v>337</v>
      </c>
      <c r="B27" s="246">
        <v>4</v>
      </c>
      <c r="C27" s="246">
        <v>0</v>
      </c>
      <c r="D27" s="246"/>
      <c r="E27" s="246"/>
      <c r="F27" s="246">
        <v>1</v>
      </c>
      <c r="G27" s="246">
        <v>0</v>
      </c>
      <c r="H27" s="247">
        <f t="shared" si="0"/>
        <v>5</v>
      </c>
      <c r="I27" s="246"/>
      <c r="J27" s="246"/>
      <c r="K27" s="246">
        <f t="shared" si="1"/>
        <v>5</v>
      </c>
      <c r="L27" s="248">
        <f t="shared" si="2"/>
        <v>0</v>
      </c>
      <c r="N27" s="263"/>
      <c r="O27" s="70"/>
    </row>
    <row r="28" spans="1:15" ht="19.5" thickBot="1" x14ac:dyDescent="0.35">
      <c r="A28" s="249" t="s">
        <v>314</v>
      </c>
      <c r="B28" s="195">
        <v>0</v>
      </c>
      <c r="C28" s="195">
        <v>0</v>
      </c>
      <c r="D28" s="70"/>
      <c r="E28" s="70"/>
      <c r="F28" s="70">
        <v>4</v>
      </c>
      <c r="G28" s="70">
        <v>0</v>
      </c>
      <c r="H28" s="204">
        <f t="shared" si="0"/>
        <v>4</v>
      </c>
      <c r="I28" s="70"/>
      <c r="J28" s="70"/>
      <c r="K28" s="70">
        <f t="shared" si="1"/>
        <v>4</v>
      </c>
      <c r="L28" s="250">
        <f t="shared" si="2"/>
        <v>0</v>
      </c>
      <c r="N28" s="263"/>
      <c r="O28" s="70"/>
    </row>
    <row r="29" spans="1:15" ht="18.75" x14ac:dyDescent="0.3">
      <c r="A29" s="249" t="s">
        <v>204</v>
      </c>
      <c r="B29" s="195">
        <v>0</v>
      </c>
      <c r="C29" s="195">
        <v>0</v>
      </c>
      <c r="D29" s="70"/>
      <c r="E29" s="70"/>
      <c r="F29" s="70">
        <v>3</v>
      </c>
      <c r="G29" s="70">
        <v>0</v>
      </c>
      <c r="H29" s="204">
        <f t="shared" si="0"/>
        <v>3</v>
      </c>
      <c r="I29" s="70"/>
      <c r="J29" s="70"/>
      <c r="K29" s="70">
        <f t="shared" si="1"/>
        <v>3</v>
      </c>
      <c r="L29" s="250">
        <f t="shared" si="2"/>
        <v>0</v>
      </c>
      <c r="N29" s="263"/>
      <c r="O29" s="70"/>
    </row>
    <row r="30" spans="1:15" ht="15.75" x14ac:dyDescent="0.25">
      <c r="A30" s="251" t="s">
        <v>356</v>
      </c>
      <c r="B30" s="70">
        <v>3</v>
      </c>
      <c r="C30" s="70">
        <v>0</v>
      </c>
      <c r="D30" s="70"/>
      <c r="E30" s="70"/>
      <c r="F30" s="195">
        <v>0</v>
      </c>
      <c r="G30" s="195">
        <v>0</v>
      </c>
      <c r="H30" s="204">
        <f t="shared" si="0"/>
        <v>3</v>
      </c>
      <c r="I30" s="70"/>
      <c r="J30" s="70"/>
      <c r="K30" s="70">
        <f t="shared" si="1"/>
        <v>3</v>
      </c>
      <c r="L30" s="250">
        <f t="shared" si="2"/>
        <v>0</v>
      </c>
      <c r="O30" s="70"/>
    </row>
    <row r="31" spans="1:15" ht="15.75" x14ac:dyDescent="0.25">
      <c r="A31" s="249" t="s">
        <v>313</v>
      </c>
      <c r="B31" s="70">
        <v>2</v>
      </c>
      <c r="C31" s="70">
        <v>0</v>
      </c>
      <c r="D31" s="70"/>
      <c r="E31" s="70"/>
      <c r="F31" s="70">
        <v>1</v>
      </c>
      <c r="G31" s="70">
        <v>0</v>
      </c>
      <c r="H31" s="204">
        <f t="shared" si="0"/>
        <v>3</v>
      </c>
      <c r="I31" s="70"/>
      <c r="J31" s="70"/>
      <c r="K31" s="70">
        <f t="shared" si="1"/>
        <v>3</v>
      </c>
      <c r="L31" s="250">
        <f t="shared" si="2"/>
        <v>0</v>
      </c>
    </row>
    <row r="32" spans="1:15" ht="15.75" x14ac:dyDescent="0.25">
      <c r="A32" s="249" t="s">
        <v>130</v>
      </c>
      <c r="B32" s="70">
        <v>2</v>
      </c>
      <c r="C32" s="70">
        <v>0</v>
      </c>
      <c r="D32" s="70"/>
      <c r="E32" s="70"/>
      <c r="F32" s="70">
        <v>0</v>
      </c>
      <c r="G32" s="70">
        <v>0</v>
      </c>
      <c r="H32" s="204">
        <f t="shared" si="0"/>
        <v>2</v>
      </c>
      <c r="I32" s="70"/>
      <c r="J32" s="70"/>
      <c r="K32" s="70">
        <f t="shared" si="1"/>
        <v>2</v>
      </c>
      <c r="L32" s="250">
        <f t="shared" si="2"/>
        <v>0</v>
      </c>
    </row>
    <row r="33" spans="1:12" ht="15.75" x14ac:dyDescent="0.25">
      <c r="A33" s="249" t="s">
        <v>39</v>
      </c>
      <c r="B33" s="70">
        <v>1</v>
      </c>
      <c r="C33" s="70">
        <v>0</v>
      </c>
      <c r="D33" s="70"/>
      <c r="E33" s="70"/>
      <c r="F33" s="70">
        <v>1</v>
      </c>
      <c r="G33" s="70">
        <v>0</v>
      </c>
      <c r="H33" s="204">
        <f t="shared" si="0"/>
        <v>2</v>
      </c>
      <c r="I33" s="70"/>
      <c r="J33" s="70"/>
      <c r="K33" s="70">
        <f t="shared" si="1"/>
        <v>2</v>
      </c>
      <c r="L33" s="250">
        <f t="shared" si="2"/>
        <v>0</v>
      </c>
    </row>
    <row r="34" spans="1:12" ht="15.75" x14ac:dyDescent="0.25">
      <c r="A34" s="249" t="s">
        <v>312</v>
      </c>
      <c r="B34" s="70">
        <v>1</v>
      </c>
      <c r="C34" s="70">
        <v>0</v>
      </c>
      <c r="D34" s="70"/>
      <c r="E34" s="70"/>
      <c r="F34" s="70">
        <v>1</v>
      </c>
      <c r="G34" s="70">
        <v>0</v>
      </c>
      <c r="H34" s="204">
        <f t="shared" ref="H34:H54" si="3">(B34+C34+F34+G34)</f>
        <v>2</v>
      </c>
      <c r="I34" s="70"/>
      <c r="J34" s="70"/>
      <c r="K34" s="70">
        <f t="shared" ref="K34:K55" si="4">B34+F34</f>
        <v>2</v>
      </c>
      <c r="L34" s="250">
        <f t="shared" ref="L34:L55" si="5">C34+G34</f>
        <v>0</v>
      </c>
    </row>
    <row r="35" spans="1:12" ht="15.75" x14ac:dyDescent="0.25">
      <c r="A35" s="249" t="s">
        <v>315</v>
      </c>
      <c r="B35" s="195">
        <v>0</v>
      </c>
      <c r="C35" s="195">
        <v>0</v>
      </c>
      <c r="D35" s="70"/>
      <c r="E35" s="70"/>
      <c r="F35" s="70">
        <v>2</v>
      </c>
      <c r="G35" s="70">
        <v>0</v>
      </c>
      <c r="H35" s="204">
        <f t="shared" si="3"/>
        <v>2</v>
      </c>
      <c r="I35" s="70"/>
      <c r="J35" s="70"/>
      <c r="K35" s="70">
        <f t="shared" si="4"/>
        <v>2</v>
      </c>
      <c r="L35" s="250">
        <f t="shared" si="5"/>
        <v>0</v>
      </c>
    </row>
    <row r="36" spans="1:12" ht="15.75" x14ac:dyDescent="0.25">
      <c r="A36" s="252" t="s">
        <v>30</v>
      </c>
      <c r="B36" s="70">
        <v>1</v>
      </c>
      <c r="C36" s="70">
        <v>0</v>
      </c>
      <c r="D36" s="70"/>
      <c r="E36" s="70"/>
      <c r="F36" s="70">
        <v>1</v>
      </c>
      <c r="G36" s="70">
        <v>0</v>
      </c>
      <c r="H36" s="204">
        <f t="shared" si="3"/>
        <v>2</v>
      </c>
      <c r="I36" s="70"/>
      <c r="J36" s="70"/>
      <c r="K36" s="70">
        <f t="shared" si="4"/>
        <v>2</v>
      </c>
      <c r="L36" s="250">
        <f t="shared" si="5"/>
        <v>0</v>
      </c>
    </row>
    <row r="37" spans="1:12" ht="15.75" x14ac:dyDescent="0.25">
      <c r="A37" s="249" t="s">
        <v>41</v>
      </c>
      <c r="B37" s="70">
        <v>1</v>
      </c>
      <c r="C37" s="70">
        <v>0</v>
      </c>
      <c r="D37" s="70"/>
      <c r="E37" s="70"/>
      <c r="F37" s="70">
        <v>1</v>
      </c>
      <c r="G37" s="70">
        <v>0</v>
      </c>
      <c r="H37" s="204">
        <f t="shared" si="3"/>
        <v>2</v>
      </c>
      <c r="I37" s="70"/>
      <c r="J37" s="70"/>
      <c r="K37" s="70">
        <f t="shared" si="4"/>
        <v>2</v>
      </c>
      <c r="L37" s="250">
        <f t="shared" si="5"/>
        <v>0</v>
      </c>
    </row>
    <row r="38" spans="1:12" ht="15.75" x14ac:dyDescent="0.25">
      <c r="A38" s="253" t="s">
        <v>355</v>
      </c>
      <c r="B38" s="70">
        <v>2</v>
      </c>
      <c r="C38" s="70">
        <v>0</v>
      </c>
      <c r="D38" s="70"/>
      <c r="E38" s="70"/>
      <c r="F38" s="195">
        <v>0</v>
      </c>
      <c r="G38" s="195">
        <v>0</v>
      </c>
      <c r="H38" s="204">
        <f t="shared" si="3"/>
        <v>2</v>
      </c>
      <c r="I38" s="70"/>
      <c r="J38" s="70"/>
      <c r="K38" s="70">
        <f t="shared" si="4"/>
        <v>2</v>
      </c>
      <c r="L38" s="250">
        <f t="shared" si="5"/>
        <v>0</v>
      </c>
    </row>
    <row r="39" spans="1:12" ht="15.75" x14ac:dyDescent="0.25">
      <c r="A39" s="249" t="s">
        <v>252</v>
      </c>
      <c r="B39" s="195">
        <v>0</v>
      </c>
      <c r="C39" s="195">
        <v>0</v>
      </c>
      <c r="D39" s="70"/>
      <c r="E39" s="70"/>
      <c r="F39" s="70">
        <v>1</v>
      </c>
      <c r="G39" s="70">
        <v>0</v>
      </c>
      <c r="H39" s="204">
        <f t="shared" si="3"/>
        <v>1</v>
      </c>
      <c r="I39" s="70"/>
      <c r="J39" s="70"/>
      <c r="K39" s="70">
        <f t="shared" si="4"/>
        <v>1</v>
      </c>
      <c r="L39" s="250">
        <f t="shared" si="5"/>
        <v>0</v>
      </c>
    </row>
    <row r="40" spans="1:12" ht="15.75" x14ac:dyDescent="0.25">
      <c r="A40" s="249" t="s">
        <v>62</v>
      </c>
      <c r="B40" s="195">
        <v>0</v>
      </c>
      <c r="C40" s="195">
        <v>0</v>
      </c>
      <c r="D40" s="70"/>
      <c r="E40" s="70"/>
      <c r="F40" s="70">
        <v>1</v>
      </c>
      <c r="G40" s="70">
        <v>0</v>
      </c>
      <c r="H40" s="204">
        <f t="shared" si="3"/>
        <v>1</v>
      </c>
      <c r="I40" s="70"/>
      <c r="J40" s="70"/>
      <c r="K40" s="70">
        <f t="shared" si="4"/>
        <v>1</v>
      </c>
      <c r="L40" s="250">
        <f t="shared" si="5"/>
        <v>0</v>
      </c>
    </row>
    <row r="41" spans="1:12" ht="15.75" x14ac:dyDescent="0.25">
      <c r="A41" s="249" t="s">
        <v>120</v>
      </c>
      <c r="B41" s="70">
        <v>1</v>
      </c>
      <c r="C41" s="70">
        <v>0</v>
      </c>
      <c r="D41" s="70"/>
      <c r="E41" s="70"/>
      <c r="F41" s="195">
        <v>0</v>
      </c>
      <c r="G41" s="195">
        <v>0</v>
      </c>
      <c r="H41" s="204">
        <f t="shared" si="3"/>
        <v>1</v>
      </c>
      <c r="I41" s="70"/>
      <c r="J41" s="70"/>
      <c r="K41" s="70">
        <f t="shared" si="4"/>
        <v>1</v>
      </c>
      <c r="L41" s="250">
        <f t="shared" si="5"/>
        <v>0</v>
      </c>
    </row>
    <row r="42" spans="1:12" ht="15.75" x14ac:dyDescent="0.25">
      <c r="A42" s="249" t="s">
        <v>311</v>
      </c>
      <c r="B42" s="70">
        <v>1</v>
      </c>
      <c r="C42" s="70">
        <v>0</v>
      </c>
      <c r="D42" s="70"/>
      <c r="E42" s="70"/>
      <c r="F42" s="70">
        <v>0</v>
      </c>
      <c r="G42" s="70">
        <v>0</v>
      </c>
      <c r="H42" s="204">
        <f t="shared" si="3"/>
        <v>1</v>
      </c>
      <c r="I42" s="70"/>
      <c r="J42" s="70"/>
      <c r="K42" s="70">
        <f t="shared" si="4"/>
        <v>1</v>
      </c>
      <c r="L42" s="250">
        <f t="shared" si="5"/>
        <v>0</v>
      </c>
    </row>
    <row r="43" spans="1:12" ht="15.75" x14ac:dyDescent="0.25">
      <c r="A43" s="249" t="s">
        <v>250</v>
      </c>
      <c r="B43" s="70">
        <v>0</v>
      </c>
      <c r="C43" s="70">
        <v>0</v>
      </c>
      <c r="D43" s="70"/>
      <c r="E43" s="70"/>
      <c r="F43" s="70">
        <v>1</v>
      </c>
      <c r="G43" s="70">
        <v>0</v>
      </c>
      <c r="H43" s="204">
        <f t="shared" si="3"/>
        <v>1</v>
      </c>
      <c r="I43" s="70"/>
      <c r="J43" s="70"/>
      <c r="K43" s="70">
        <f t="shared" si="4"/>
        <v>1</v>
      </c>
      <c r="L43" s="250">
        <f t="shared" si="5"/>
        <v>0</v>
      </c>
    </row>
    <row r="44" spans="1:12" ht="15.75" x14ac:dyDescent="0.25">
      <c r="A44" s="249" t="s">
        <v>122</v>
      </c>
      <c r="B44" s="195">
        <v>0</v>
      </c>
      <c r="C44" s="195">
        <v>0</v>
      </c>
      <c r="D44" s="70"/>
      <c r="E44" s="70"/>
      <c r="F44" s="70">
        <v>1</v>
      </c>
      <c r="G44" s="70">
        <v>0</v>
      </c>
      <c r="H44" s="204">
        <f t="shared" si="3"/>
        <v>1</v>
      </c>
      <c r="I44" s="70"/>
      <c r="J44" s="70"/>
      <c r="K44" s="70">
        <f t="shared" si="4"/>
        <v>1</v>
      </c>
      <c r="L44" s="250">
        <f t="shared" si="5"/>
        <v>0</v>
      </c>
    </row>
    <row r="45" spans="1:12" ht="15.75" x14ac:dyDescent="0.25">
      <c r="A45" s="252" t="s">
        <v>64</v>
      </c>
      <c r="B45" s="70">
        <v>1</v>
      </c>
      <c r="C45" s="70">
        <v>0</v>
      </c>
      <c r="D45" s="70"/>
      <c r="E45" s="70"/>
      <c r="F45" s="195">
        <v>0</v>
      </c>
      <c r="G45" s="195">
        <v>0</v>
      </c>
      <c r="H45" s="204">
        <f t="shared" si="3"/>
        <v>1</v>
      </c>
      <c r="I45" s="70"/>
      <c r="J45" s="70"/>
      <c r="K45" s="70">
        <f t="shared" si="4"/>
        <v>1</v>
      </c>
      <c r="L45" s="250">
        <f t="shared" si="5"/>
        <v>0</v>
      </c>
    </row>
    <row r="46" spans="1:12" ht="15.75" x14ac:dyDescent="0.25">
      <c r="A46" s="249" t="s">
        <v>303</v>
      </c>
      <c r="B46" s="70">
        <v>1</v>
      </c>
      <c r="C46" s="70">
        <v>0</v>
      </c>
      <c r="D46" s="70"/>
      <c r="E46" s="70"/>
      <c r="F46" s="195">
        <v>0</v>
      </c>
      <c r="G46" s="195">
        <v>0</v>
      </c>
      <c r="H46" s="204">
        <f t="shared" si="3"/>
        <v>1</v>
      </c>
      <c r="I46" s="53"/>
      <c r="J46" s="53"/>
      <c r="K46" s="70">
        <f t="shared" si="4"/>
        <v>1</v>
      </c>
      <c r="L46" s="250">
        <f t="shared" si="5"/>
        <v>0</v>
      </c>
    </row>
    <row r="47" spans="1:12" ht="15.75" x14ac:dyDescent="0.25">
      <c r="A47" s="249" t="s">
        <v>292</v>
      </c>
      <c r="B47" s="70">
        <v>1</v>
      </c>
      <c r="C47" s="70">
        <v>0</v>
      </c>
      <c r="D47" s="70"/>
      <c r="E47" s="70"/>
      <c r="F47" s="195">
        <v>0</v>
      </c>
      <c r="G47" s="195">
        <v>0</v>
      </c>
      <c r="H47" s="204">
        <f t="shared" si="3"/>
        <v>1</v>
      </c>
      <c r="I47" s="70"/>
      <c r="J47" s="70"/>
      <c r="K47" s="70">
        <f t="shared" si="4"/>
        <v>1</v>
      </c>
      <c r="L47" s="250">
        <f t="shared" si="5"/>
        <v>0</v>
      </c>
    </row>
    <row r="48" spans="1:12" ht="15.75" x14ac:dyDescent="0.25">
      <c r="A48" s="249" t="s">
        <v>42</v>
      </c>
      <c r="B48" s="70">
        <v>1</v>
      </c>
      <c r="C48" s="70">
        <v>0</v>
      </c>
      <c r="D48" s="70"/>
      <c r="E48" s="70"/>
      <c r="F48" s="70">
        <v>0</v>
      </c>
      <c r="G48" s="70">
        <v>0</v>
      </c>
      <c r="H48" s="204">
        <f t="shared" si="3"/>
        <v>1</v>
      </c>
      <c r="I48" s="70"/>
      <c r="J48" s="70"/>
      <c r="K48" s="70">
        <f t="shared" si="4"/>
        <v>1</v>
      </c>
      <c r="L48" s="250">
        <f t="shared" si="5"/>
        <v>0</v>
      </c>
    </row>
    <row r="49" spans="1:12" ht="15.75" x14ac:dyDescent="0.25">
      <c r="A49" s="249" t="s">
        <v>224</v>
      </c>
      <c r="B49" s="195">
        <v>0</v>
      </c>
      <c r="C49" s="195">
        <v>0</v>
      </c>
      <c r="D49" s="70"/>
      <c r="E49" s="70"/>
      <c r="F49" s="70">
        <v>1</v>
      </c>
      <c r="G49" s="70">
        <v>0</v>
      </c>
      <c r="H49" s="204">
        <f t="shared" si="3"/>
        <v>1</v>
      </c>
      <c r="I49" s="70"/>
      <c r="J49" s="70"/>
      <c r="K49" s="70">
        <f t="shared" si="4"/>
        <v>1</v>
      </c>
      <c r="L49" s="250">
        <f t="shared" si="5"/>
        <v>0</v>
      </c>
    </row>
    <row r="50" spans="1:12" ht="15.75" x14ac:dyDescent="0.25">
      <c r="A50" s="249" t="s">
        <v>310</v>
      </c>
      <c r="B50" s="70">
        <v>1</v>
      </c>
      <c r="C50" s="70">
        <v>0</v>
      </c>
      <c r="D50" s="70"/>
      <c r="E50" s="70"/>
      <c r="F50" s="195">
        <v>0</v>
      </c>
      <c r="G50" s="195">
        <v>0</v>
      </c>
      <c r="H50" s="204">
        <f t="shared" si="3"/>
        <v>1</v>
      </c>
      <c r="I50" s="70"/>
      <c r="J50" s="70"/>
      <c r="K50" s="70">
        <f t="shared" si="4"/>
        <v>1</v>
      </c>
      <c r="L50" s="250">
        <f t="shared" si="5"/>
        <v>0</v>
      </c>
    </row>
    <row r="51" spans="1:12" ht="15.75" x14ac:dyDescent="0.25">
      <c r="A51" s="254" t="s">
        <v>338</v>
      </c>
      <c r="B51" s="70">
        <v>1</v>
      </c>
      <c r="C51" s="70">
        <v>0</v>
      </c>
      <c r="D51" s="70"/>
      <c r="E51" s="70"/>
      <c r="F51" s="195">
        <v>0</v>
      </c>
      <c r="G51" s="195">
        <v>0</v>
      </c>
      <c r="H51" s="204">
        <f t="shared" si="3"/>
        <v>1</v>
      </c>
      <c r="I51" s="70"/>
      <c r="J51" s="70"/>
      <c r="K51" s="70">
        <f t="shared" si="4"/>
        <v>1</v>
      </c>
      <c r="L51" s="250">
        <f t="shared" si="5"/>
        <v>0</v>
      </c>
    </row>
    <row r="52" spans="1:12" ht="15.75" x14ac:dyDescent="0.25">
      <c r="A52" s="249" t="s">
        <v>74</v>
      </c>
      <c r="B52" s="70">
        <v>1</v>
      </c>
      <c r="C52" s="70">
        <v>0</v>
      </c>
      <c r="D52" s="70"/>
      <c r="E52" s="70"/>
      <c r="F52" s="195">
        <v>0</v>
      </c>
      <c r="G52" s="195">
        <v>0</v>
      </c>
      <c r="H52" s="204">
        <f t="shared" si="3"/>
        <v>1</v>
      </c>
      <c r="I52" s="70"/>
      <c r="J52" s="70"/>
      <c r="K52" s="70">
        <f t="shared" si="4"/>
        <v>1</v>
      </c>
      <c r="L52" s="250">
        <f t="shared" si="5"/>
        <v>0</v>
      </c>
    </row>
    <row r="53" spans="1:12" ht="15.75" x14ac:dyDescent="0.25">
      <c r="A53" s="249" t="s">
        <v>76</v>
      </c>
      <c r="B53" s="70">
        <v>1</v>
      </c>
      <c r="C53" s="70">
        <v>0</v>
      </c>
      <c r="D53" s="70"/>
      <c r="E53" s="70"/>
      <c r="F53" s="195">
        <v>0</v>
      </c>
      <c r="G53" s="195">
        <v>0</v>
      </c>
      <c r="H53" s="204">
        <f t="shared" si="3"/>
        <v>1</v>
      </c>
      <c r="I53" s="70"/>
      <c r="J53" s="70"/>
      <c r="K53" s="70">
        <f t="shared" si="4"/>
        <v>1</v>
      </c>
      <c r="L53" s="250">
        <f t="shared" si="5"/>
        <v>0</v>
      </c>
    </row>
    <row r="54" spans="1:12" ht="15.75" x14ac:dyDescent="0.25">
      <c r="A54" s="255" t="s">
        <v>300</v>
      </c>
      <c r="B54" s="256">
        <v>1</v>
      </c>
      <c r="C54" s="256">
        <v>0</v>
      </c>
      <c r="D54" s="256"/>
      <c r="E54" s="256"/>
      <c r="F54" s="257">
        <v>0</v>
      </c>
      <c r="G54" s="257">
        <v>0</v>
      </c>
      <c r="H54" s="258">
        <f t="shared" si="3"/>
        <v>1</v>
      </c>
      <c r="I54" s="256"/>
      <c r="J54" s="256"/>
      <c r="K54" s="256">
        <f t="shared" si="4"/>
        <v>1</v>
      </c>
      <c r="L54" s="256">
        <f t="shared" si="5"/>
        <v>0</v>
      </c>
    </row>
    <row r="55" spans="1:12" ht="15.75" x14ac:dyDescent="0.25">
      <c r="A55" s="71"/>
      <c r="B55" s="70">
        <f>SUM(B3:B26)</f>
        <v>45</v>
      </c>
      <c r="C55" s="70">
        <f>SUM(C3:C26)</f>
        <v>19</v>
      </c>
      <c r="D55" s="70"/>
      <c r="E55" s="70"/>
      <c r="F55" s="70">
        <f>SUM(F3:F26)</f>
        <v>51</v>
      </c>
      <c r="G55" s="70">
        <f>SUM(G3:G26)</f>
        <v>73</v>
      </c>
      <c r="H55" s="70"/>
      <c r="I55" s="69"/>
      <c r="J55" s="70"/>
      <c r="K55" s="70">
        <f t="shared" si="4"/>
        <v>96</v>
      </c>
      <c r="L55" s="70">
        <f t="shared" si="5"/>
        <v>92</v>
      </c>
    </row>
  </sheetData>
  <sortState xmlns:xlrd2="http://schemas.microsoft.com/office/spreadsheetml/2017/richdata2" ref="A1:L54">
    <sortCondition descending="1" ref="K1:K54"/>
    <sortCondition ref="L1:L54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zoomScale="115" zoomScaleNormal="115" workbookViewId="0">
      <selection activeCell="F18" sqref="F18"/>
    </sheetView>
  </sheetViews>
  <sheetFormatPr baseColWidth="10" defaultRowHeight="15" x14ac:dyDescent="0.25"/>
  <cols>
    <col min="1" max="1" width="22.140625" customWidth="1"/>
    <col min="8" max="8" width="7" customWidth="1"/>
    <col min="16" max="16" width="11.42578125" style="134"/>
    <col min="17" max="17" width="9.42578125" customWidth="1"/>
    <col min="18" max="18" width="24" customWidth="1"/>
    <col min="25" max="25" width="6.7109375" customWidth="1"/>
  </cols>
  <sheetData>
    <row r="1" spans="1:32" s="172" customFormat="1" ht="24.75" customHeight="1" x14ac:dyDescent="0.25">
      <c r="A1" s="172" t="s">
        <v>431</v>
      </c>
      <c r="B1" s="171"/>
      <c r="C1" s="171"/>
      <c r="D1" s="171"/>
      <c r="E1" s="171"/>
      <c r="F1" s="171"/>
      <c r="G1" s="171"/>
      <c r="H1" s="171"/>
      <c r="J1" s="171" t="s">
        <v>432</v>
      </c>
      <c r="K1" s="171"/>
      <c r="L1" s="171"/>
      <c r="M1" s="171"/>
      <c r="N1" s="171"/>
      <c r="O1" s="171"/>
      <c r="P1" s="174"/>
      <c r="Q1" s="171"/>
      <c r="S1" s="171"/>
      <c r="T1" s="171"/>
      <c r="U1" s="171" t="s">
        <v>433</v>
      </c>
      <c r="V1" s="171"/>
      <c r="W1" s="171"/>
      <c r="X1" s="171"/>
      <c r="Y1" s="171"/>
      <c r="Z1" s="171"/>
      <c r="AA1" s="171" t="s">
        <v>434</v>
      </c>
      <c r="AB1" s="171"/>
      <c r="AD1" s="171" t="s">
        <v>380</v>
      </c>
      <c r="AE1" s="171" t="s">
        <v>381</v>
      </c>
      <c r="AF1" s="171" t="s">
        <v>382</v>
      </c>
    </row>
    <row r="2" spans="1:32" x14ac:dyDescent="0.25">
      <c r="A2" s="57" t="s">
        <v>335</v>
      </c>
      <c r="B2" s="59" t="s">
        <v>357</v>
      </c>
      <c r="C2" s="59" t="s">
        <v>360</v>
      </c>
      <c r="D2" s="59" t="s">
        <v>358</v>
      </c>
      <c r="E2" s="59" t="s">
        <v>368</v>
      </c>
      <c r="F2" s="59" t="s">
        <v>364</v>
      </c>
      <c r="G2" s="59" t="s">
        <v>366</v>
      </c>
      <c r="H2" s="67"/>
      <c r="J2" s="74" t="s">
        <v>374</v>
      </c>
      <c r="K2" s="74" t="s">
        <v>375</v>
      </c>
      <c r="L2" s="74" t="s">
        <v>376</v>
      </c>
      <c r="M2" s="74"/>
      <c r="N2" s="74" t="s">
        <v>383</v>
      </c>
      <c r="O2" s="74" t="s">
        <v>384</v>
      </c>
      <c r="P2" s="76"/>
      <c r="Q2" s="74"/>
      <c r="R2" s="57" t="s">
        <v>335</v>
      </c>
      <c r="S2" s="59" t="s">
        <v>359</v>
      </c>
      <c r="T2" s="59" t="s">
        <v>361</v>
      </c>
      <c r="U2" s="59" t="s">
        <v>362</v>
      </c>
      <c r="V2" s="59" t="s">
        <v>363</v>
      </c>
      <c r="W2" s="59" t="s">
        <v>365</v>
      </c>
      <c r="X2" s="59" t="s">
        <v>367</v>
      </c>
      <c r="Y2" s="67"/>
      <c r="Z2" s="67"/>
      <c r="AA2" s="74" t="s">
        <v>385</v>
      </c>
      <c r="AB2" s="74" t="s">
        <v>386</v>
      </c>
      <c r="AD2" s="74" t="s">
        <v>377</v>
      </c>
      <c r="AE2" s="74" t="s">
        <v>378</v>
      </c>
      <c r="AF2" s="74" t="s">
        <v>379</v>
      </c>
    </row>
    <row r="3" spans="1:32" x14ac:dyDescent="0.25">
      <c r="A3" s="3" t="s">
        <v>177</v>
      </c>
      <c r="B3" s="142">
        <v>3</v>
      </c>
      <c r="C3" s="143">
        <v>1</v>
      </c>
      <c r="D3" s="20">
        <v>6</v>
      </c>
      <c r="E3" s="20">
        <v>1</v>
      </c>
      <c r="F3" s="20">
        <v>0</v>
      </c>
      <c r="G3" s="20">
        <v>0</v>
      </c>
      <c r="H3" s="26">
        <f t="shared" ref="H3:H35" si="0">SUM(B3:G3)</f>
        <v>11</v>
      </c>
      <c r="I3" s="266">
        <f>(H3/264)*100</f>
        <v>4.1666666666666661</v>
      </c>
      <c r="J3" s="26">
        <f t="shared" ref="J3:J35" si="1">SUM(B3:C3)</f>
        <v>4</v>
      </c>
      <c r="K3" s="26">
        <f t="shared" ref="K3:K35" si="2">SUM(D3:E3)</f>
        <v>7</v>
      </c>
      <c r="L3" s="26">
        <f t="shared" ref="L3:L35" si="3">SUM(F3:G3)</f>
        <v>0</v>
      </c>
      <c r="M3" s="26"/>
      <c r="N3" s="26">
        <f t="shared" ref="N3:N35" si="4">SUM(B3:D3)</f>
        <v>10</v>
      </c>
      <c r="O3" s="26">
        <f t="shared" ref="O3:O35" si="5">SUM(E3:G3)</f>
        <v>1</v>
      </c>
      <c r="P3" s="136"/>
      <c r="Q3" s="26"/>
      <c r="R3" s="3" t="s">
        <v>177</v>
      </c>
      <c r="S3" s="20">
        <v>1</v>
      </c>
      <c r="T3" s="20">
        <v>0</v>
      </c>
      <c r="U3" s="20">
        <v>0</v>
      </c>
      <c r="V3" s="20">
        <v>0</v>
      </c>
      <c r="W3" s="20">
        <v>1</v>
      </c>
      <c r="X3" s="20">
        <v>0</v>
      </c>
      <c r="Y3" s="26">
        <f t="shared" ref="Y3:Y35" si="6">SUM(S3:X3)</f>
        <v>2</v>
      </c>
      <c r="Z3" s="26"/>
      <c r="AA3" s="26">
        <f>SUM(S3:U3)</f>
        <v>1</v>
      </c>
      <c r="AB3" s="26">
        <f>SUM(V3:X3)</f>
        <v>1</v>
      </c>
      <c r="AD3" s="26">
        <f>SUM(S3:T3)</f>
        <v>1</v>
      </c>
      <c r="AE3" s="26">
        <f>SUM(U3:V3)</f>
        <v>0</v>
      </c>
      <c r="AF3" s="26">
        <f t="shared" ref="AF3:AF35" si="7">SUM(W3:X3)</f>
        <v>1</v>
      </c>
    </row>
    <row r="4" spans="1:32" x14ac:dyDescent="0.25">
      <c r="A4" s="128" t="s">
        <v>220</v>
      </c>
      <c r="B4" s="144">
        <v>0</v>
      </c>
      <c r="C4" s="60">
        <v>0</v>
      </c>
      <c r="D4" s="11">
        <v>0</v>
      </c>
      <c r="E4" s="11">
        <v>0</v>
      </c>
      <c r="F4" s="11">
        <v>1</v>
      </c>
      <c r="G4" s="11">
        <v>0</v>
      </c>
      <c r="H4" s="26">
        <f t="shared" si="0"/>
        <v>1</v>
      </c>
      <c r="I4" s="266">
        <f t="shared" ref="I4:I35" si="8">(H4/264)*100</f>
        <v>0.37878787878787878</v>
      </c>
      <c r="J4" s="26">
        <f t="shared" si="1"/>
        <v>0</v>
      </c>
      <c r="K4" s="26">
        <f t="shared" si="2"/>
        <v>0</v>
      </c>
      <c r="L4" s="26">
        <f t="shared" si="3"/>
        <v>1</v>
      </c>
      <c r="M4" s="26"/>
      <c r="N4" s="26">
        <f t="shared" si="4"/>
        <v>0</v>
      </c>
      <c r="O4" s="26">
        <f t="shared" si="5"/>
        <v>1</v>
      </c>
      <c r="P4" s="136"/>
      <c r="Q4" s="26"/>
      <c r="R4" s="128" t="s">
        <v>220</v>
      </c>
      <c r="S4" s="11">
        <v>0</v>
      </c>
      <c r="T4" s="11">
        <v>0</v>
      </c>
      <c r="U4" s="11">
        <v>0</v>
      </c>
      <c r="V4" s="11">
        <v>1</v>
      </c>
      <c r="W4" s="11">
        <v>1</v>
      </c>
      <c r="X4" s="11">
        <v>2</v>
      </c>
      <c r="Y4" s="26">
        <f t="shared" si="6"/>
        <v>4</v>
      </c>
      <c r="Z4" s="26"/>
      <c r="AA4" s="26">
        <f t="shared" ref="AA4:AA35" si="9">SUM(S4:U4)</f>
        <v>0</v>
      </c>
      <c r="AB4" s="26">
        <f t="shared" ref="AB4:AB35" si="10">SUM(V4:X4)</f>
        <v>4</v>
      </c>
      <c r="AD4" s="26">
        <f t="shared" ref="AD4:AD35" si="11">SUM(S4:T4)</f>
        <v>0</v>
      </c>
      <c r="AE4" s="26">
        <f t="shared" ref="AE4:AE35" si="12">SUM(U4:V4)</f>
        <v>1</v>
      </c>
      <c r="AF4" s="26">
        <f t="shared" si="7"/>
        <v>3</v>
      </c>
    </row>
    <row r="5" spans="1:32" x14ac:dyDescent="0.25">
      <c r="A5" s="3" t="s">
        <v>191</v>
      </c>
      <c r="B5" s="142">
        <v>0</v>
      </c>
      <c r="C5" s="143">
        <v>0</v>
      </c>
      <c r="D5" s="20">
        <v>4</v>
      </c>
      <c r="E5" s="20">
        <v>2</v>
      </c>
      <c r="F5" s="20">
        <v>0</v>
      </c>
      <c r="G5" s="20">
        <v>1</v>
      </c>
      <c r="H5" s="26">
        <f t="shared" si="0"/>
        <v>7</v>
      </c>
      <c r="I5" s="266">
        <f t="shared" si="8"/>
        <v>2.6515151515151514</v>
      </c>
      <c r="J5" s="26">
        <f t="shared" si="1"/>
        <v>0</v>
      </c>
      <c r="K5" s="26">
        <f t="shared" si="2"/>
        <v>6</v>
      </c>
      <c r="L5" s="26">
        <f t="shared" si="3"/>
        <v>1</v>
      </c>
      <c r="M5" s="26"/>
      <c r="N5" s="26">
        <f t="shared" si="4"/>
        <v>4</v>
      </c>
      <c r="O5" s="26">
        <f t="shared" si="5"/>
        <v>3</v>
      </c>
      <c r="P5" s="136"/>
      <c r="Q5" s="26"/>
      <c r="R5" s="3" t="s">
        <v>191</v>
      </c>
      <c r="S5" s="20">
        <v>3</v>
      </c>
      <c r="T5" s="20">
        <v>0</v>
      </c>
      <c r="U5" s="20">
        <v>0</v>
      </c>
      <c r="V5" s="20">
        <v>1</v>
      </c>
      <c r="W5" s="20">
        <v>1</v>
      </c>
      <c r="X5" s="20">
        <v>0</v>
      </c>
      <c r="Y5" s="26">
        <f t="shared" si="6"/>
        <v>5</v>
      </c>
      <c r="Z5" s="26"/>
      <c r="AA5" s="26">
        <f t="shared" si="9"/>
        <v>3</v>
      </c>
      <c r="AB5" s="26">
        <f t="shared" si="10"/>
        <v>2</v>
      </c>
      <c r="AD5" s="26">
        <f t="shared" si="11"/>
        <v>3</v>
      </c>
      <c r="AE5" s="26">
        <f t="shared" si="12"/>
        <v>1</v>
      </c>
      <c r="AF5" s="26">
        <f t="shared" si="7"/>
        <v>1</v>
      </c>
    </row>
    <row r="6" spans="1:32" x14ac:dyDescent="0.25">
      <c r="A6" s="3" t="s">
        <v>200</v>
      </c>
      <c r="B6" s="142">
        <v>1</v>
      </c>
      <c r="C6" s="143">
        <v>2</v>
      </c>
      <c r="D6" s="20">
        <v>16</v>
      </c>
      <c r="E6" s="20">
        <v>4</v>
      </c>
      <c r="F6" s="20">
        <v>2</v>
      </c>
      <c r="G6" s="20">
        <v>1</v>
      </c>
      <c r="H6" s="26">
        <f t="shared" si="0"/>
        <v>26</v>
      </c>
      <c r="I6" s="266">
        <f t="shared" si="8"/>
        <v>9.8484848484848477</v>
      </c>
      <c r="J6" s="26">
        <f t="shared" si="1"/>
        <v>3</v>
      </c>
      <c r="K6" s="26">
        <f t="shared" si="2"/>
        <v>20</v>
      </c>
      <c r="L6" s="26">
        <f t="shared" si="3"/>
        <v>3</v>
      </c>
      <c r="M6" s="26"/>
      <c r="N6" s="26">
        <f t="shared" si="4"/>
        <v>19</v>
      </c>
      <c r="O6" s="26">
        <f t="shared" si="5"/>
        <v>7</v>
      </c>
      <c r="P6" s="136"/>
      <c r="Q6" s="26"/>
      <c r="R6" s="3" t="s">
        <v>200</v>
      </c>
      <c r="S6" s="20">
        <v>3</v>
      </c>
      <c r="T6" s="20">
        <v>27</v>
      </c>
      <c r="U6" s="20">
        <v>0</v>
      </c>
      <c r="V6" s="20">
        <v>0</v>
      </c>
      <c r="W6" s="20">
        <v>1</v>
      </c>
      <c r="X6" s="20">
        <v>1</v>
      </c>
      <c r="Y6" s="26">
        <f t="shared" si="6"/>
        <v>32</v>
      </c>
      <c r="Z6" s="26"/>
      <c r="AA6" s="26">
        <f t="shared" si="9"/>
        <v>30</v>
      </c>
      <c r="AB6" s="26">
        <f t="shared" si="10"/>
        <v>2</v>
      </c>
      <c r="AD6" s="26">
        <f t="shared" si="11"/>
        <v>30</v>
      </c>
      <c r="AE6" s="26">
        <f t="shared" si="12"/>
        <v>0</v>
      </c>
      <c r="AF6" s="26">
        <f t="shared" si="7"/>
        <v>2</v>
      </c>
    </row>
    <row r="7" spans="1:32" x14ac:dyDescent="0.25">
      <c r="A7" s="3" t="s">
        <v>226</v>
      </c>
      <c r="B7" s="142">
        <v>0</v>
      </c>
      <c r="C7" s="143">
        <v>1</v>
      </c>
      <c r="D7" s="20">
        <v>2</v>
      </c>
      <c r="E7" s="20">
        <v>15</v>
      </c>
      <c r="F7" s="20">
        <v>0</v>
      </c>
      <c r="G7" s="20">
        <v>0</v>
      </c>
      <c r="H7" s="26">
        <f t="shared" si="0"/>
        <v>18</v>
      </c>
      <c r="I7" s="266">
        <f t="shared" si="8"/>
        <v>6.8181818181818175</v>
      </c>
      <c r="J7" s="26">
        <f t="shared" si="1"/>
        <v>1</v>
      </c>
      <c r="K7" s="26">
        <f t="shared" si="2"/>
        <v>17</v>
      </c>
      <c r="L7" s="26">
        <f t="shared" si="3"/>
        <v>0</v>
      </c>
      <c r="M7" s="26"/>
      <c r="N7" s="26">
        <f t="shared" si="4"/>
        <v>3</v>
      </c>
      <c r="O7" s="26">
        <f t="shared" si="5"/>
        <v>15</v>
      </c>
      <c r="P7" s="136"/>
      <c r="Q7" s="26"/>
      <c r="R7" s="3" t="s">
        <v>226</v>
      </c>
      <c r="S7" s="20">
        <v>1</v>
      </c>
      <c r="T7" s="20">
        <v>2</v>
      </c>
      <c r="U7" s="20">
        <v>1</v>
      </c>
      <c r="V7" s="20">
        <v>2</v>
      </c>
      <c r="W7" s="20">
        <v>4</v>
      </c>
      <c r="X7" s="20">
        <v>0</v>
      </c>
      <c r="Y7" s="26">
        <f t="shared" si="6"/>
        <v>10</v>
      </c>
      <c r="Z7" s="26"/>
      <c r="AA7" s="26">
        <f t="shared" si="9"/>
        <v>4</v>
      </c>
      <c r="AB7" s="26">
        <f t="shared" si="10"/>
        <v>6</v>
      </c>
      <c r="AD7" s="26">
        <f t="shared" si="11"/>
        <v>3</v>
      </c>
      <c r="AE7" s="26">
        <f t="shared" si="12"/>
        <v>3</v>
      </c>
      <c r="AF7" s="26">
        <f t="shared" si="7"/>
        <v>4</v>
      </c>
    </row>
    <row r="8" spans="1:32" x14ac:dyDescent="0.25">
      <c r="A8" s="3" t="s">
        <v>213</v>
      </c>
      <c r="B8" s="8">
        <v>0</v>
      </c>
      <c r="C8" s="20">
        <v>1</v>
      </c>
      <c r="D8" s="20">
        <v>4</v>
      </c>
      <c r="E8" s="20">
        <v>1</v>
      </c>
      <c r="F8" s="20">
        <v>3</v>
      </c>
      <c r="G8" s="20">
        <v>4</v>
      </c>
      <c r="H8" s="26">
        <f t="shared" si="0"/>
        <v>13</v>
      </c>
      <c r="I8" s="266">
        <f t="shared" si="8"/>
        <v>4.9242424242424239</v>
      </c>
      <c r="J8" s="26">
        <f t="shared" si="1"/>
        <v>1</v>
      </c>
      <c r="K8" s="26">
        <f t="shared" si="2"/>
        <v>5</v>
      </c>
      <c r="L8" s="26">
        <f t="shared" si="3"/>
        <v>7</v>
      </c>
      <c r="M8" s="26"/>
      <c r="N8" s="26">
        <f t="shared" si="4"/>
        <v>5</v>
      </c>
      <c r="O8" s="26">
        <f t="shared" si="5"/>
        <v>8</v>
      </c>
      <c r="P8" s="136"/>
      <c r="Q8" s="26"/>
      <c r="R8" s="3" t="s">
        <v>213</v>
      </c>
      <c r="S8" s="20">
        <v>0</v>
      </c>
      <c r="T8" s="20">
        <v>17</v>
      </c>
      <c r="U8" s="20">
        <v>0</v>
      </c>
      <c r="V8" s="20">
        <v>1</v>
      </c>
      <c r="W8" s="20">
        <v>2</v>
      </c>
      <c r="X8" s="20">
        <v>3</v>
      </c>
      <c r="Y8" s="26">
        <f t="shared" si="6"/>
        <v>23</v>
      </c>
      <c r="Z8" s="26"/>
      <c r="AA8" s="26">
        <f t="shared" si="9"/>
        <v>17</v>
      </c>
      <c r="AB8" s="26">
        <f t="shared" si="10"/>
        <v>6</v>
      </c>
      <c r="AD8" s="26">
        <f t="shared" si="11"/>
        <v>17</v>
      </c>
      <c r="AE8" s="26">
        <f t="shared" si="12"/>
        <v>1</v>
      </c>
      <c r="AF8" s="26">
        <f t="shared" si="7"/>
        <v>5</v>
      </c>
    </row>
    <row r="9" spans="1:32" x14ac:dyDescent="0.25">
      <c r="A9" s="138" t="s">
        <v>187</v>
      </c>
      <c r="B9" s="141">
        <v>0</v>
      </c>
      <c r="C9" s="139">
        <v>0</v>
      </c>
      <c r="D9" s="139">
        <v>0</v>
      </c>
      <c r="E9" s="139">
        <v>0</v>
      </c>
      <c r="F9" s="139">
        <v>0</v>
      </c>
      <c r="G9" s="139">
        <v>0</v>
      </c>
      <c r="H9" s="145">
        <f t="shared" si="0"/>
        <v>0</v>
      </c>
      <c r="I9" s="266">
        <f t="shared" si="8"/>
        <v>0</v>
      </c>
      <c r="J9" s="26">
        <f t="shared" si="1"/>
        <v>0</v>
      </c>
      <c r="K9" s="26">
        <f t="shared" si="2"/>
        <v>0</v>
      </c>
      <c r="L9" s="26">
        <f t="shared" si="3"/>
        <v>0</v>
      </c>
      <c r="M9" s="26"/>
      <c r="N9" s="26">
        <f t="shared" si="4"/>
        <v>0</v>
      </c>
      <c r="O9" s="26">
        <f t="shared" si="5"/>
        <v>0</v>
      </c>
      <c r="P9" s="136"/>
      <c r="Q9" s="26"/>
      <c r="R9" s="3" t="s">
        <v>187</v>
      </c>
      <c r="S9" s="20">
        <v>2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6">
        <f t="shared" si="6"/>
        <v>2</v>
      </c>
      <c r="Z9" s="26"/>
      <c r="AA9" s="26">
        <f t="shared" si="9"/>
        <v>2</v>
      </c>
      <c r="AB9" s="26">
        <f t="shared" si="10"/>
        <v>0</v>
      </c>
      <c r="AD9" s="26">
        <f t="shared" si="11"/>
        <v>2</v>
      </c>
      <c r="AE9" s="26">
        <f t="shared" si="12"/>
        <v>0</v>
      </c>
      <c r="AF9" s="26">
        <f t="shared" si="7"/>
        <v>0</v>
      </c>
    </row>
    <row r="10" spans="1:32" x14ac:dyDescent="0.25">
      <c r="A10" s="3" t="s">
        <v>331</v>
      </c>
      <c r="B10" s="8">
        <v>0</v>
      </c>
      <c r="C10" s="20">
        <v>0</v>
      </c>
      <c r="D10" s="20">
        <v>0</v>
      </c>
      <c r="E10" s="20">
        <v>1</v>
      </c>
      <c r="F10" s="20">
        <v>1</v>
      </c>
      <c r="G10" s="20">
        <v>0</v>
      </c>
      <c r="H10" s="26">
        <f t="shared" si="0"/>
        <v>2</v>
      </c>
      <c r="I10" s="266">
        <f t="shared" si="8"/>
        <v>0.75757575757575757</v>
      </c>
      <c r="J10" s="26">
        <f t="shared" si="1"/>
        <v>0</v>
      </c>
      <c r="K10" s="26">
        <f t="shared" si="2"/>
        <v>1</v>
      </c>
      <c r="L10" s="26">
        <f t="shared" si="3"/>
        <v>1</v>
      </c>
      <c r="M10" s="26"/>
      <c r="N10" s="26">
        <f t="shared" si="4"/>
        <v>0</v>
      </c>
      <c r="O10" s="26">
        <f t="shared" si="5"/>
        <v>2</v>
      </c>
      <c r="P10" s="136"/>
      <c r="Q10" s="26"/>
      <c r="R10" s="3" t="s">
        <v>331</v>
      </c>
      <c r="S10" s="20">
        <v>1</v>
      </c>
      <c r="T10" s="20">
        <v>0</v>
      </c>
      <c r="U10" s="20">
        <v>0</v>
      </c>
      <c r="V10" s="20">
        <v>0</v>
      </c>
      <c r="W10" s="20">
        <v>1</v>
      </c>
      <c r="X10" s="20">
        <v>3</v>
      </c>
      <c r="Y10" s="26">
        <f t="shared" si="6"/>
        <v>5</v>
      </c>
      <c r="Z10" s="26"/>
      <c r="AA10" s="26">
        <f t="shared" si="9"/>
        <v>1</v>
      </c>
      <c r="AB10" s="26">
        <f t="shared" si="10"/>
        <v>4</v>
      </c>
      <c r="AD10" s="26">
        <f t="shared" si="11"/>
        <v>1</v>
      </c>
      <c r="AE10" s="26">
        <f t="shared" si="12"/>
        <v>0</v>
      </c>
      <c r="AF10" s="26">
        <f t="shared" si="7"/>
        <v>4</v>
      </c>
    </row>
    <row r="11" spans="1:32" x14ac:dyDescent="0.25">
      <c r="A11" s="3" t="s">
        <v>251</v>
      </c>
      <c r="B11" s="8">
        <v>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6">
        <f t="shared" si="0"/>
        <v>1</v>
      </c>
      <c r="I11" s="266">
        <f t="shared" si="8"/>
        <v>0.37878787878787878</v>
      </c>
      <c r="J11" s="26">
        <f t="shared" si="1"/>
        <v>1</v>
      </c>
      <c r="K11" s="26">
        <f t="shared" si="2"/>
        <v>0</v>
      </c>
      <c r="L11" s="26">
        <f t="shared" si="3"/>
        <v>0</v>
      </c>
      <c r="M11" s="26"/>
      <c r="N11" s="26">
        <f t="shared" si="4"/>
        <v>1</v>
      </c>
      <c r="O11" s="26">
        <f t="shared" si="5"/>
        <v>0</v>
      </c>
      <c r="P11" s="136"/>
      <c r="Q11" s="26"/>
      <c r="R11" s="138" t="s">
        <v>251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45">
        <f t="shared" si="6"/>
        <v>0</v>
      </c>
      <c r="Z11" s="26"/>
      <c r="AA11" s="26">
        <f t="shared" si="9"/>
        <v>0</v>
      </c>
      <c r="AB11" s="26">
        <f t="shared" si="10"/>
        <v>0</v>
      </c>
      <c r="AD11" s="26">
        <f t="shared" si="11"/>
        <v>0</v>
      </c>
      <c r="AE11" s="26">
        <f t="shared" si="12"/>
        <v>0</v>
      </c>
      <c r="AF11" s="26">
        <f t="shared" si="7"/>
        <v>0</v>
      </c>
    </row>
    <row r="12" spans="1:32" x14ac:dyDescent="0.25">
      <c r="A12" s="3" t="s">
        <v>291</v>
      </c>
      <c r="B12" s="8">
        <v>0</v>
      </c>
      <c r="C12" s="20">
        <v>0</v>
      </c>
      <c r="D12" s="20">
        <v>0</v>
      </c>
      <c r="E12" s="20">
        <v>1</v>
      </c>
      <c r="F12" s="20">
        <v>0</v>
      </c>
      <c r="G12" s="20">
        <v>0</v>
      </c>
      <c r="H12" s="26">
        <f t="shared" si="0"/>
        <v>1</v>
      </c>
      <c r="I12" s="266">
        <f t="shared" si="8"/>
        <v>0.37878787878787878</v>
      </c>
      <c r="J12" s="26">
        <f t="shared" si="1"/>
        <v>0</v>
      </c>
      <c r="K12" s="26">
        <f t="shared" si="2"/>
        <v>1</v>
      </c>
      <c r="L12" s="26">
        <f t="shared" si="3"/>
        <v>0</v>
      </c>
      <c r="M12" s="26"/>
      <c r="N12" s="26">
        <f t="shared" si="4"/>
        <v>0</v>
      </c>
      <c r="O12" s="26">
        <f t="shared" si="5"/>
        <v>1</v>
      </c>
      <c r="P12" s="136"/>
      <c r="Q12" s="26"/>
      <c r="R12" s="138" t="s">
        <v>291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45">
        <f t="shared" si="6"/>
        <v>0</v>
      </c>
      <c r="Z12" s="26"/>
      <c r="AA12" s="26">
        <f t="shared" si="9"/>
        <v>0</v>
      </c>
      <c r="AB12" s="26">
        <f t="shared" si="10"/>
        <v>0</v>
      </c>
      <c r="AD12" s="26">
        <f t="shared" si="11"/>
        <v>0</v>
      </c>
      <c r="AE12" s="26">
        <f t="shared" si="12"/>
        <v>0</v>
      </c>
      <c r="AF12" s="26">
        <f t="shared" si="7"/>
        <v>0</v>
      </c>
    </row>
    <row r="13" spans="1:32" x14ac:dyDescent="0.25">
      <c r="A13" s="3" t="s">
        <v>299</v>
      </c>
      <c r="B13" s="8">
        <v>0</v>
      </c>
      <c r="C13" s="20">
        <v>0</v>
      </c>
      <c r="D13" s="20">
        <v>0</v>
      </c>
      <c r="E13" s="20">
        <v>1</v>
      </c>
      <c r="F13" s="20">
        <v>0</v>
      </c>
      <c r="G13" s="20">
        <v>0</v>
      </c>
      <c r="H13" s="26">
        <f t="shared" si="0"/>
        <v>1</v>
      </c>
      <c r="I13" s="266">
        <f t="shared" si="8"/>
        <v>0.37878787878787878</v>
      </c>
      <c r="J13" s="26">
        <f t="shared" si="1"/>
        <v>0</v>
      </c>
      <c r="K13" s="26">
        <f t="shared" si="2"/>
        <v>1</v>
      </c>
      <c r="L13" s="26">
        <f t="shared" si="3"/>
        <v>0</v>
      </c>
      <c r="M13" s="26"/>
      <c r="N13" s="26">
        <f t="shared" si="4"/>
        <v>0</v>
      </c>
      <c r="O13" s="26">
        <f t="shared" si="5"/>
        <v>1</v>
      </c>
      <c r="P13" s="136"/>
      <c r="Q13" s="26"/>
      <c r="R13" s="138" t="s">
        <v>299</v>
      </c>
      <c r="S13" s="139">
        <v>0</v>
      </c>
      <c r="T13" s="139">
        <v>0</v>
      </c>
      <c r="U13" s="139">
        <v>0</v>
      </c>
      <c r="V13" s="139">
        <v>0</v>
      </c>
      <c r="W13" s="139">
        <v>0</v>
      </c>
      <c r="X13" s="139">
        <v>0</v>
      </c>
      <c r="Y13" s="145">
        <f t="shared" si="6"/>
        <v>0</v>
      </c>
      <c r="Z13" s="26"/>
      <c r="AA13" s="26">
        <f t="shared" si="9"/>
        <v>0</v>
      </c>
      <c r="AB13" s="26">
        <f t="shared" si="10"/>
        <v>0</v>
      </c>
      <c r="AD13" s="26">
        <f t="shared" si="11"/>
        <v>0</v>
      </c>
      <c r="AE13" s="26">
        <f t="shared" si="12"/>
        <v>0</v>
      </c>
      <c r="AF13" s="26">
        <f t="shared" si="7"/>
        <v>0</v>
      </c>
    </row>
    <row r="14" spans="1:32" x14ac:dyDescent="0.25">
      <c r="A14" s="2" t="s">
        <v>24</v>
      </c>
      <c r="B14" s="8">
        <v>0</v>
      </c>
      <c r="C14" s="11">
        <v>0</v>
      </c>
      <c r="D14" s="11">
        <v>1</v>
      </c>
      <c r="E14" s="11">
        <v>0</v>
      </c>
      <c r="F14" s="11">
        <v>0</v>
      </c>
      <c r="G14" s="11">
        <v>0</v>
      </c>
      <c r="H14" s="26">
        <f t="shared" si="0"/>
        <v>1</v>
      </c>
      <c r="I14" s="266">
        <f t="shared" si="8"/>
        <v>0.37878787878787878</v>
      </c>
      <c r="J14" s="26">
        <f t="shared" si="1"/>
        <v>0</v>
      </c>
      <c r="K14" s="26">
        <f t="shared" si="2"/>
        <v>1</v>
      </c>
      <c r="L14" s="26">
        <f t="shared" si="3"/>
        <v>0</v>
      </c>
      <c r="M14" s="26"/>
      <c r="N14" s="26">
        <f t="shared" si="4"/>
        <v>1</v>
      </c>
      <c r="O14" s="26">
        <f t="shared" si="5"/>
        <v>0</v>
      </c>
      <c r="P14" s="136"/>
      <c r="Q14" s="26"/>
      <c r="R14" s="2" t="s">
        <v>24</v>
      </c>
      <c r="S14" s="11">
        <v>5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26">
        <f t="shared" si="6"/>
        <v>5</v>
      </c>
      <c r="Z14" s="26"/>
      <c r="AA14" s="26">
        <f t="shared" si="9"/>
        <v>5</v>
      </c>
      <c r="AB14" s="26">
        <f t="shared" si="10"/>
        <v>0</v>
      </c>
      <c r="AD14" s="26">
        <f t="shared" si="11"/>
        <v>5</v>
      </c>
      <c r="AE14" s="26">
        <f t="shared" si="12"/>
        <v>0</v>
      </c>
      <c r="AF14" s="26">
        <f t="shared" si="7"/>
        <v>0</v>
      </c>
    </row>
    <row r="15" spans="1:32" x14ac:dyDescent="0.25">
      <c r="A15" s="146" t="s">
        <v>270</v>
      </c>
      <c r="B15" s="141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5">
        <f t="shared" si="0"/>
        <v>0</v>
      </c>
      <c r="I15" s="266">
        <f t="shared" si="8"/>
        <v>0</v>
      </c>
      <c r="J15" s="26">
        <f t="shared" si="1"/>
        <v>0</v>
      </c>
      <c r="K15" s="26">
        <f t="shared" si="2"/>
        <v>0</v>
      </c>
      <c r="L15" s="26">
        <f t="shared" si="3"/>
        <v>0</v>
      </c>
      <c r="M15" s="26"/>
      <c r="N15" s="26">
        <f t="shared" si="4"/>
        <v>0</v>
      </c>
      <c r="O15" s="26">
        <f t="shared" si="5"/>
        <v>0</v>
      </c>
      <c r="P15" s="136"/>
      <c r="Q15" s="26"/>
      <c r="R15" s="2" t="s">
        <v>270</v>
      </c>
      <c r="S15" s="11">
        <v>0</v>
      </c>
      <c r="T15" s="11">
        <v>0</v>
      </c>
      <c r="U15" s="11">
        <v>0</v>
      </c>
      <c r="V15" s="11">
        <v>0</v>
      </c>
      <c r="W15" s="11">
        <v>1</v>
      </c>
      <c r="X15" s="11">
        <v>0</v>
      </c>
      <c r="Y15" s="26">
        <f t="shared" si="6"/>
        <v>1</v>
      </c>
      <c r="Z15" s="26"/>
      <c r="AA15" s="26">
        <f t="shared" si="9"/>
        <v>0</v>
      </c>
      <c r="AB15" s="26">
        <f t="shared" si="10"/>
        <v>1</v>
      </c>
      <c r="AD15" s="26">
        <f t="shared" si="11"/>
        <v>0</v>
      </c>
      <c r="AE15" s="26">
        <f t="shared" si="12"/>
        <v>0</v>
      </c>
      <c r="AF15" s="26">
        <f t="shared" si="7"/>
        <v>1</v>
      </c>
    </row>
    <row r="16" spans="1:32" x14ac:dyDescent="0.25">
      <c r="A16" s="2" t="s">
        <v>249</v>
      </c>
      <c r="B16" s="8">
        <v>1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26">
        <f t="shared" si="0"/>
        <v>1</v>
      </c>
      <c r="I16" s="266">
        <f t="shared" si="8"/>
        <v>0.37878787878787878</v>
      </c>
      <c r="J16" s="26">
        <f t="shared" si="1"/>
        <v>1</v>
      </c>
      <c r="K16" s="26">
        <f t="shared" si="2"/>
        <v>0</v>
      </c>
      <c r="L16" s="26">
        <f t="shared" si="3"/>
        <v>0</v>
      </c>
      <c r="M16" s="26"/>
      <c r="N16" s="26">
        <f t="shared" si="4"/>
        <v>1</v>
      </c>
      <c r="O16" s="26">
        <f t="shared" si="5"/>
        <v>0</v>
      </c>
      <c r="P16" s="136"/>
      <c r="Q16" s="26"/>
      <c r="R16" s="146" t="s">
        <v>249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5">
        <f t="shared" si="6"/>
        <v>0</v>
      </c>
      <c r="Z16" s="26"/>
      <c r="AA16" s="26">
        <f t="shared" si="9"/>
        <v>0</v>
      </c>
      <c r="AB16" s="26">
        <f t="shared" si="10"/>
        <v>0</v>
      </c>
      <c r="AD16" s="26">
        <f t="shared" si="11"/>
        <v>0</v>
      </c>
      <c r="AE16" s="26">
        <f t="shared" si="12"/>
        <v>0</v>
      </c>
      <c r="AF16" s="26">
        <f t="shared" si="7"/>
        <v>0</v>
      </c>
    </row>
    <row r="17" spans="1:32" x14ac:dyDescent="0.25">
      <c r="A17" s="138" t="s">
        <v>329</v>
      </c>
      <c r="B17" s="141">
        <v>0</v>
      </c>
      <c r="C17" s="139">
        <v>0</v>
      </c>
      <c r="D17" s="139">
        <v>0</v>
      </c>
      <c r="E17" s="139">
        <v>0</v>
      </c>
      <c r="F17" s="139">
        <v>0</v>
      </c>
      <c r="G17" s="139">
        <v>0</v>
      </c>
      <c r="H17" s="145">
        <f t="shared" si="0"/>
        <v>0</v>
      </c>
      <c r="I17" s="266">
        <f t="shared" si="8"/>
        <v>0</v>
      </c>
      <c r="J17" s="26">
        <f t="shared" si="1"/>
        <v>0</v>
      </c>
      <c r="K17" s="26">
        <f t="shared" si="2"/>
        <v>0</v>
      </c>
      <c r="L17" s="26">
        <f t="shared" si="3"/>
        <v>0</v>
      </c>
      <c r="M17" s="26"/>
      <c r="N17" s="26">
        <f t="shared" si="4"/>
        <v>0</v>
      </c>
      <c r="O17" s="26">
        <f t="shared" si="5"/>
        <v>0</v>
      </c>
      <c r="P17" s="136"/>
      <c r="Q17" s="26"/>
      <c r="R17" s="3" t="s">
        <v>329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1</v>
      </c>
      <c r="Y17" s="26">
        <f t="shared" si="6"/>
        <v>3</v>
      </c>
      <c r="Z17" s="26"/>
      <c r="AA17" s="26">
        <f t="shared" si="9"/>
        <v>2</v>
      </c>
      <c r="AB17" s="26">
        <f t="shared" si="10"/>
        <v>1</v>
      </c>
      <c r="AD17" s="26">
        <f t="shared" si="11"/>
        <v>2</v>
      </c>
      <c r="AE17" s="26">
        <f t="shared" si="12"/>
        <v>0</v>
      </c>
      <c r="AF17" s="26">
        <f t="shared" si="7"/>
        <v>1</v>
      </c>
    </row>
    <row r="18" spans="1:32" x14ac:dyDescent="0.25">
      <c r="A18" s="2" t="s">
        <v>336</v>
      </c>
      <c r="B18" s="8">
        <v>3</v>
      </c>
      <c r="C18" s="20">
        <v>1</v>
      </c>
      <c r="D18" s="20">
        <v>0</v>
      </c>
      <c r="E18" s="20">
        <v>14</v>
      </c>
      <c r="F18" s="20">
        <v>2</v>
      </c>
      <c r="G18" s="20">
        <v>9</v>
      </c>
      <c r="H18" s="26">
        <f t="shared" si="0"/>
        <v>29</v>
      </c>
      <c r="I18" s="266">
        <f t="shared" si="8"/>
        <v>10.984848484848484</v>
      </c>
      <c r="J18" s="26">
        <f t="shared" si="1"/>
        <v>4</v>
      </c>
      <c r="K18" s="26">
        <f t="shared" si="2"/>
        <v>14</v>
      </c>
      <c r="L18" s="26">
        <f t="shared" si="3"/>
        <v>11</v>
      </c>
      <c r="M18" s="26"/>
      <c r="N18" s="26">
        <f t="shared" si="4"/>
        <v>4</v>
      </c>
      <c r="O18" s="26">
        <f t="shared" si="5"/>
        <v>25</v>
      </c>
      <c r="P18" s="136"/>
      <c r="Q18" s="26"/>
      <c r="R18" s="2" t="s">
        <v>336</v>
      </c>
      <c r="S18" s="20">
        <v>2</v>
      </c>
      <c r="T18" s="20">
        <v>0</v>
      </c>
      <c r="U18" s="20">
        <v>0</v>
      </c>
      <c r="V18" s="20">
        <v>0</v>
      </c>
      <c r="W18" s="20">
        <v>0</v>
      </c>
      <c r="X18" s="20">
        <v>2</v>
      </c>
      <c r="Y18" s="26">
        <f t="shared" si="6"/>
        <v>4</v>
      </c>
      <c r="Z18" s="26"/>
      <c r="AA18" s="26">
        <f t="shared" si="9"/>
        <v>2</v>
      </c>
      <c r="AB18" s="26">
        <f t="shared" si="10"/>
        <v>2</v>
      </c>
      <c r="AD18" s="26">
        <f t="shared" si="11"/>
        <v>2</v>
      </c>
      <c r="AE18" s="26">
        <f t="shared" si="12"/>
        <v>0</v>
      </c>
      <c r="AF18" s="26">
        <f t="shared" si="7"/>
        <v>2</v>
      </c>
    </row>
    <row r="19" spans="1:32" x14ac:dyDescent="0.25">
      <c r="A19" s="3" t="s">
        <v>127</v>
      </c>
      <c r="B19" s="8">
        <v>2</v>
      </c>
      <c r="C19" s="20">
        <v>0</v>
      </c>
      <c r="D19" s="20">
        <v>1</v>
      </c>
      <c r="E19" s="20">
        <v>9</v>
      </c>
      <c r="F19" s="20">
        <v>0</v>
      </c>
      <c r="G19" s="20">
        <v>9</v>
      </c>
      <c r="H19" s="26">
        <f t="shared" si="0"/>
        <v>21</v>
      </c>
      <c r="I19" s="266">
        <f t="shared" si="8"/>
        <v>7.9545454545454541</v>
      </c>
      <c r="J19" s="26">
        <f t="shared" si="1"/>
        <v>2</v>
      </c>
      <c r="K19" s="26">
        <f t="shared" si="2"/>
        <v>10</v>
      </c>
      <c r="L19" s="26">
        <f t="shared" si="3"/>
        <v>9</v>
      </c>
      <c r="M19" s="26"/>
      <c r="N19" s="26">
        <f t="shared" si="4"/>
        <v>3</v>
      </c>
      <c r="O19" s="26">
        <f t="shared" si="5"/>
        <v>18</v>
      </c>
      <c r="P19" s="136"/>
      <c r="Q19" s="26"/>
      <c r="R19" s="3" t="s">
        <v>127</v>
      </c>
      <c r="S19" s="20">
        <v>0</v>
      </c>
      <c r="T19" s="20">
        <v>0</v>
      </c>
      <c r="U19" s="20">
        <v>0</v>
      </c>
      <c r="V19" s="20">
        <v>0</v>
      </c>
      <c r="W19" s="20">
        <v>1</v>
      </c>
      <c r="X19" s="20">
        <v>0</v>
      </c>
      <c r="Y19" s="26">
        <f t="shared" si="6"/>
        <v>1</v>
      </c>
      <c r="Z19" s="26"/>
      <c r="AA19" s="26">
        <f t="shared" si="9"/>
        <v>0</v>
      </c>
      <c r="AB19" s="26">
        <f t="shared" si="10"/>
        <v>1</v>
      </c>
      <c r="AD19" s="26">
        <f t="shared" si="11"/>
        <v>0</v>
      </c>
      <c r="AE19" s="26">
        <f t="shared" si="12"/>
        <v>0</v>
      </c>
      <c r="AF19" s="26">
        <f t="shared" si="7"/>
        <v>1</v>
      </c>
    </row>
    <row r="20" spans="1:32" x14ac:dyDescent="0.25">
      <c r="A20" s="3" t="s">
        <v>56</v>
      </c>
      <c r="B20" s="8">
        <v>0</v>
      </c>
      <c r="C20" s="20">
        <v>1</v>
      </c>
      <c r="D20" s="20">
        <v>0</v>
      </c>
      <c r="E20" s="20">
        <v>0</v>
      </c>
      <c r="F20" s="20">
        <v>0</v>
      </c>
      <c r="G20" s="20">
        <v>1</v>
      </c>
      <c r="H20" s="26">
        <f t="shared" si="0"/>
        <v>2</v>
      </c>
      <c r="I20" s="266">
        <f t="shared" si="8"/>
        <v>0.75757575757575757</v>
      </c>
      <c r="J20" s="26">
        <f t="shared" si="1"/>
        <v>1</v>
      </c>
      <c r="K20" s="26">
        <f t="shared" si="2"/>
        <v>0</v>
      </c>
      <c r="L20" s="26">
        <f t="shared" si="3"/>
        <v>1</v>
      </c>
      <c r="M20" s="26"/>
      <c r="N20" s="26">
        <f t="shared" si="4"/>
        <v>1</v>
      </c>
      <c r="O20" s="26">
        <f t="shared" si="5"/>
        <v>1</v>
      </c>
      <c r="P20" s="136"/>
      <c r="Q20" s="26"/>
      <c r="R20" s="3" t="s">
        <v>56</v>
      </c>
      <c r="S20" s="20">
        <v>0</v>
      </c>
      <c r="T20" s="20">
        <v>0</v>
      </c>
      <c r="U20" s="20">
        <v>1</v>
      </c>
      <c r="V20" s="20">
        <v>1</v>
      </c>
      <c r="W20" s="20">
        <v>0</v>
      </c>
      <c r="X20" s="20">
        <v>1</v>
      </c>
      <c r="Y20" s="26">
        <f t="shared" si="6"/>
        <v>3</v>
      </c>
      <c r="Z20" s="26"/>
      <c r="AA20" s="26">
        <f t="shared" si="9"/>
        <v>1</v>
      </c>
      <c r="AB20" s="26">
        <f t="shared" si="10"/>
        <v>2</v>
      </c>
      <c r="AD20" s="26">
        <f t="shared" si="11"/>
        <v>0</v>
      </c>
      <c r="AE20" s="26">
        <f t="shared" si="12"/>
        <v>2</v>
      </c>
      <c r="AF20" s="26">
        <f t="shared" si="7"/>
        <v>1</v>
      </c>
    </row>
    <row r="21" spans="1:32" x14ac:dyDescent="0.25">
      <c r="A21" s="2" t="s">
        <v>61</v>
      </c>
      <c r="B21" s="8">
        <v>1</v>
      </c>
      <c r="C21" s="20">
        <v>2</v>
      </c>
      <c r="D21" s="20">
        <v>1</v>
      </c>
      <c r="E21" s="20">
        <v>9</v>
      </c>
      <c r="F21" s="20">
        <v>1</v>
      </c>
      <c r="G21" s="20">
        <v>3</v>
      </c>
      <c r="H21" s="26">
        <f t="shared" si="0"/>
        <v>17</v>
      </c>
      <c r="I21" s="266">
        <f t="shared" si="8"/>
        <v>6.4393939393939394</v>
      </c>
      <c r="J21" s="26">
        <f t="shared" si="1"/>
        <v>3</v>
      </c>
      <c r="K21" s="26">
        <f t="shared" si="2"/>
        <v>10</v>
      </c>
      <c r="L21" s="26">
        <f t="shared" si="3"/>
        <v>4</v>
      </c>
      <c r="M21" s="26"/>
      <c r="N21" s="26">
        <f t="shared" si="4"/>
        <v>4</v>
      </c>
      <c r="O21" s="26">
        <f t="shared" si="5"/>
        <v>13</v>
      </c>
      <c r="P21" s="136"/>
      <c r="Q21" s="26"/>
      <c r="R21" s="2" t="s">
        <v>61</v>
      </c>
      <c r="S21" s="20">
        <v>0</v>
      </c>
      <c r="T21" s="20">
        <v>1</v>
      </c>
      <c r="U21" s="20">
        <v>0</v>
      </c>
      <c r="V21" s="20">
        <v>0</v>
      </c>
      <c r="W21" s="20">
        <v>1</v>
      </c>
      <c r="X21" s="20">
        <v>3</v>
      </c>
      <c r="Y21" s="26">
        <f t="shared" si="6"/>
        <v>5</v>
      </c>
      <c r="Z21" s="26"/>
      <c r="AA21" s="26">
        <f t="shared" si="9"/>
        <v>1</v>
      </c>
      <c r="AB21" s="26">
        <f t="shared" si="10"/>
        <v>4</v>
      </c>
      <c r="AD21" s="26">
        <f t="shared" si="11"/>
        <v>1</v>
      </c>
      <c r="AE21" s="26">
        <f t="shared" si="12"/>
        <v>0</v>
      </c>
      <c r="AF21" s="26">
        <f t="shared" si="7"/>
        <v>4</v>
      </c>
    </row>
    <row r="22" spans="1:32" x14ac:dyDescent="0.25">
      <c r="A22" s="3" t="s">
        <v>136</v>
      </c>
      <c r="B22" s="8">
        <v>1</v>
      </c>
      <c r="C22" s="20">
        <v>2</v>
      </c>
      <c r="D22" s="20">
        <v>0</v>
      </c>
      <c r="E22" s="20">
        <v>2</v>
      </c>
      <c r="F22" s="20">
        <v>0</v>
      </c>
      <c r="G22" s="20">
        <v>1</v>
      </c>
      <c r="H22" s="26">
        <f t="shared" si="0"/>
        <v>6</v>
      </c>
      <c r="I22" s="266">
        <f t="shared" si="8"/>
        <v>2.2727272727272729</v>
      </c>
      <c r="J22" s="26">
        <f t="shared" si="1"/>
        <v>3</v>
      </c>
      <c r="K22" s="26">
        <f t="shared" si="2"/>
        <v>2</v>
      </c>
      <c r="L22" s="26">
        <f t="shared" si="3"/>
        <v>1</v>
      </c>
      <c r="M22" s="26"/>
      <c r="N22" s="26">
        <f t="shared" si="4"/>
        <v>3</v>
      </c>
      <c r="O22" s="26">
        <f t="shared" si="5"/>
        <v>3</v>
      </c>
      <c r="P22" s="136"/>
      <c r="Q22" s="26"/>
      <c r="R22" s="3" t="s">
        <v>136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6">
        <f t="shared" si="6"/>
        <v>0</v>
      </c>
      <c r="Z22" s="26"/>
      <c r="AA22" s="26">
        <f t="shared" si="9"/>
        <v>0</v>
      </c>
      <c r="AB22" s="26">
        <f t="shared" si="10"/>
        <v>0</v>
      </c>
      <c r="AD22" s="26">
        <f t="shared" si="11"/>
        <v>0</v>
      </c>
      <c r="AE22" s="26">
        <f t="shared" si="12"/>
        <v>0</v>
      </c>
      <c r="AF22" s="26">
        <f t="shared" si="7"/>
        <v>0</v>
      </c>
    </row>
    <row r="23" spans="1:32" x14ac:dyDescent="0.25">
      <c r="A23" s="3" t="s">
        <v>305</v>
      </c>
      <c r="B23" s="8">
        <v>0</v>
      </c>
      <c r="C23" s="20">
        <v>0</v>
      </c>
      <c r="D23" s="20">
        <v>0</v>
      </c>
      <c r="E23" s="20">
        <v>1</v>
      </c>
      <c r="F23" s="20">
        <v>0</v>
      </c>
      <c r="G23" s="20">
        <v>0</v>
      </c>
      <c r="H23" s="26">
        <f t="shared" si="0"/>
        <v>1</v>
      </c>
      <c r="I23" s="266">
        <f t="shared" si="8"/>
        <v>0.37878787878787878</v>
      </c>
      <c r="J23" s="26">
        <f t="shared" si="1"/>
        <v>0</v>
      </c>
      <c r="K23" s="26">
        <f t="shared" si="2"/>
        <v>1</v>
      </c>
      <c r="L23" s="26">
        <f t="shared" si="3"/>
        <v>0</v>
      </c>
      <c r="M23" s="26"/>
      <c r="N23" s="26">
        <f t="shared" si="4"/>
        <v>0</v>
      </c>
      <c r="O23" s="26">
        <f t="shared" si="5"/>
        <v>1</v>
      </c>
      <c r="P23" s="136"/>
      <c r="Q23" s="26"/>
      <c r="R23" s="3" t="s">
        <v>305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6">
        <f t="shared" si="6"/>
        <v>0</v>
      </c>
      <c r="Z23" s="26"/>
      <c r="AA23" s="26">
        <f t="shared" si="9"/>
        <v>0</v>
      </c>
      <c r="AB23" s="26">
        <f t="shared" si="10"/>
        <v>0</v>
      </c>
      <c r="AD23" s="26">
        <f t="shared" si="11"/>
        <v>0</v>
      </c>
      <c r="AE23" s="26">
        <f t="shared" si="12"/>
        <v>0</v>
      </c>
      <c r="AF23" s="26">
        <f t="shared" si="7"/>
        <v>0</v>
      </c>
    </row>
    <row r="24" spans="1:32" x14ac:dyDescent="0.25">
      <c r="A24" s="3" t="s">
        <v>81</v>
      </c>
      <c r="B24" s="8">
        <v>7</v>
      </c>
      <c r="C24" s="20">
        <v>6</v>
      </c>
      <c r="D24" s="20">
        <v>15</v>
      </c>
      <c r="E24" s="20">
        <v>0</v>
      </c>
      <c r="F24" s="20">
        <v>3</v>
      </c>
      <c r="G24" s="20">
        <v>3</v>
      </c>
      <c r="H24" s="26">
        <f t="shared" si="0"/>
        <v>34</v>
      </c>
      <c r="I24" s="266">
        <f t="shared" si="8"/>
        <v>12.878787878787879</v>
      </c>
      <c r="J24" s="26">
        <f t="shared" si="1"/>
        <v>13</v>
      </c>
      <c r="K24" s="26">
        <f t="shared" si="2"/>
        <v>15</v>
      </c>
      <c r="L24" s="26">
        <f t="shared" si="3"/>
        <v>6</v>
      </c>
      <c r="M24" s="26"/>
      <c r="N24" s="26">
        <f t="shared" si="4"/>
        <v>28</v>
      </c>
      <c r="O24" s="26">
        <f t="shared" si="5"/>
        <v>6</v>
      </c>
      <c r="P24" s="136"/>
      <c r="Q24" s="26"/>
      <c r="R24" s="3" t="s">
        <v>81</v>
      </c>
      <c r="S24" s="20">
        <v>4</v>
      </c>
      <c r="T24" s="20">
        <v>4</v>
      </c>
      <c r="U24" s="20">
        <v>5</v>
      </c>
      <c r="V24" s="20">
        <v>1</v>
      </c>
      <c r="W24" s="20">
        <v>1</v>
      </c>
      <c r="X24" s="20">
        <v>0</v>
      </c>
      <c r="Y24" s="26">
        <f t="shared" si="6"/>
        <v>15</v>
      </c>
      <c r="Z24" s="26"/>
      <c r="AA24" s="26">
        <f t="shared" si="9"/>
        <v>13</v>
      </c>
      <c r="AB24" s="26">
        <f t="shared" si="10"/>
        <v>2</v>
      </c>
      <c r="AD24" s="26">
        <f t="shared" si="11"/>
        <v>8</v>
      </c>
      <c r="AE24" s="26">
        <f t="shared" si="12"/>
        <v>6</v>
      </c>
      <c r="AF24" s="26">
        <f t="shared" si="7"/>
        <v>1</v>
      </c>
    </row>
    <row r="25" spans="1:32" x14ac:dyDescent="0.25">
      <c r="A25" s="2" t="s">
        <v>105</v>
      </c>
      <c r="B25" s="8">
        <v>1</v>
      </c>
      <c r="C25" s="20">
        <v>0</v>
      </c>
      <c r="D25" s="20">
        <v>1</v>
      </c>
      <c r="E25" s="20">
        <v>0</v>
      </c>
      <c r="F25" s="20">
        <v>4</v>
      </c>
      <c r="G25" s="20">
        <v>0</v>
      </c>
      <c r="H25" s="26">
        <f t="shared" si="0"/>
        <v>6</v>
      </c>
      <c r="I25" s="266">
        <f t="shared" si="8"/>
        <v>2.2727272727272729</v>
      </c>
      <c r="J25" s="26">
        <f t="shared" si="1"/>
        <v>1</v>
      </c>
      <c r="K25" s="26">
        <f t="shared" si="2"/>
        <v>1</v>
      </c>
      <c r="L25" s="26">
        <f t="shared" si="3"/>
        <v>4</v>
      </c>
      <c r="M25" s="26"/>
      <c r="N25" s="26">
        <f t="shared" si="4"/>
        <v>2</v>
      </c>
      <c r="O25" s="26">
        <f t="shared" si="5"/>
        <v>4</v>
      </c>
      <c r="P25" s="136"/>
      <c r="Q25" s="26"/>
      <c r="R25" s="2" t="s">
        <v>105</v>
      </c>
      <c r="S25" s="20">
        <v>2</v>
      </c>
      <c r="T25" s="20">
        <v>1</v>
      </c>
      <c r="U25" s="20">
        <v>0</v>
      </c>
      <c r="V25" s="20">
        <v>0</v>
      </c>
      <c r="W25" s="20">
        <v>0</v>
      </c>
      <c r="X25" s="20">
        <v>0</v>
      </c>
      <c r="Y25" s="26">
        <f t="shared" si="6"/>
        <v>3</v>
      </c>
      <c r="Z25" s="26"/>
      <c r="AA25" s="26">
        <f t="shared" si="9"/>
        <v>3</v>
      </c>
      <c r="AB25" s="26">
        <f t="shared" si="10"/>
        <v>0</v>
      </c>
      <c r="AD25" s="26">
        <f t="shared" si="11"/>
        <v>3</v>
      </c>
      <c r="AE25" s="26">
        <f t="shared" si="12"/>
        <v>0</v>
      </c>
      <c r="AF25" s="26">
        <f t="shared" si="7"/>
        <v>0</v>
      </c>
    </row>
    <row r="26" spans="1:32" x14ac:dyDescent="0.25">
      <c r="A26" s="3" t="s">
        <v>330</v>
      </c>
      <c r="B26" s="8">
        <v>1</v>
      </c>
      <c r="C26" s="20">
        <v>0</v>
      </c>
      <c r="D26" s="20">
        <v>1</v>
      </c>
      <c r="E26" s="20">
        <v>0</v>
      </c>
      <c r="F26" s="20">
        <v>0</v>
      </c>
      <c r="G26" s="20">
        <v>0</v>
      </c>
      <c r="H26" s="26">
        <f t="shared" si="0"/>
        <v>2</v>
      </c>
      <c r="I26" s="266">
        <f t="shared" si="8"/>
        <v>0.75757575757575757</v>
      </c>
      <c r="J26" s="26">
        <f t="shared" si="1"/>
        <v>1</v>
      </c>
      <c r="K26" s="26">
        <f t="shared" si="2"/>
        <v>1</v>
      </c>
      <c r="L26" s="26">
        <f t="shared" si="3"/>
        <v>0</v>
      </c>
      <c r="M26" s="26"/>
      <c r="N26" s="26">
        <f t="shared" si="4"/>
        <v>2</v>
      </c>
      <c r="O26" s="26">
        <f t="shared" si="5"/>
        <v>0</v>
      </c>
      <c r="P26" s="136"/>
      <c r="Q26" s="26"/>
      <c r="R26" s="138" t="s">
        <v>330</v>
      </c>
      <c r="S26" s="139">
        <v>0</v>
      </c>
      <c r="T26" s="139">
        <v>0</v>
      </c>
      <c r="U26" s="139">
        <v>0</v>
      </c>
      <c r="V26" s="139">
        <v>0</v>
      </c>
      <c r="W26" s="139">
        <v>0</v>
      </c>
      <c r="X26" s="139">
        <v>0</v>
      </c>
      <c r="Y26" s="145">
        <f t="shared" si="6"/>
        <v>0</v>
      </c>
      <c r="Z26" s="26"/>
      <c r="AA26" s="26">
        <f t="shared" si="9"/>
        <v>0</v>
      </c>
      <c r="AB26" s="26">
        <f t="shared" si="10"/>
        <v>0</v>
      </c>
      <c r="AD26" s="26">
        <f t="shared" si="11"/>
        <v>0</v>
      </c>
      <c r="AE26" s="26">
        <f t="shared" si="12"/>
        <v>0</v>
      </c>
      <c r="AF26" s="26">
        <f t="shared" si="7"/>
        <v>0</v>
      </c>
    </row>
    <row r="27" spans="1:32" x14ac:dyDescent="0.25">
      <c r="A27" s="2" t="s">
        <v>113</v>
      </c>
      <c r="B27" s="8">
        <v>1</v>
      </c>
      <c r="C27" s="20">
        <v>3</v>
      </c>
      <c r="D27" s="20">
        <v>1</v>
      </c>
      <c r="E27" s="20">
        <v>3</v>
      </c>
      <c r="F27" s="20">
        <v>0</v>
      </c>
      <c r="G27" s="20">
        <v>5</v>
      </c>
      <c r="H27" s="26">
        <f t="shared" si="0"/>
        <v>13</v>
      </c>
      <c r="I27" s="266">
        <f t="shared" si="8"/>
        <v>4.9242424242424239</v>
      </c>
      <c r="J27" s="26">
        <f t="shared" si="1"/>
        <v>4</v>
      </c>
      <c r="K27" s="26">
        <f t="shared" si="2"/>
        <v>4</v>
      </c>
      <c r="L27" s="26">
        <f t="shared" si="3"/>
        <v>5</v>
      </c>
      <c r="M27" s="26"/>
      <c r="N27" s="26">
        <f t="shared" si="4"/>
        <v>5</v>
      </c>
      <c r="O27" s="26">
        <f t="shared" si="5"/>
        <v>8</v>
      </c>
      <c r="P27" s="136"/>
      <c r="Q27" s="26"/>
      <c r="R27" s="2" t="s">
        <v>113</v>
      </c>
      <c r="S27" s="20">
        <v>4</v>
      </c>
      <c r="T27" s="20">
        <v>1</v>
      </c>
      <c r="U27" s="20">
        <v>0</v>
      </c>
      <c r="V27" s="20">
        <v>0</v>
      </c>
      <c r="W27" s="20">
        <v>2</v>
      </c>
      <c r="X27" s="20">
        <v>3</v>
      </c>
      <c r="Y27" s="26">
        <f t="shared" si="6"/>
        <v>10</v>
      </c>
      <c r="Z27" s="26"/>
      <c r="AA27" s="26">
        <f t="shared" si="9"/>
        <v>5</v>
      </c>
      <c r="AB27" s="26">
        <f t="shared" si="10"/>
        <v>5</v>
      </c>
      <c r="AD27" s="26">
        <f t="shared" si="11"/>
        <v>5</v>
      </c>
      <c r="AE27" s="26">
        <f t="shared" si="12"/>
        <v>0</v>
      </c>
      <c r="AF27" s="26">
        <f t="shared" si="7"/>
        <v>5</v>
      </c>
    </row>
    <row r="28" spans="1:32" x14ac:dyDescent="0.25">
      <c r="A28" s="3" t="s">
        <v>38</v>
      </c>
      <c r="B28" s="8">
        <v>0</v>
      </c>
      <c r="C28" s="20">
        <v>1</v>
      </c>
      <c r="D28" s="20">
        <v>0</v>
      </c>
      <c r="E28" s="20">
        <v>1</v>
      </c>
      <c r="F28" s="20">
        <v>2</v>
      </c>
      <c r="G28" s="20">
        <v>1</v>
      </c>
      <c r="H28" s="26">
        <f t="shared" si="0"/>
        <v>5</v>
      </c>
      <c r="I28" s="266">
        <f t="shared" si="8"/>
        <v>1.893939393939394</v>
      </c>
      <c r="J28" s="26">
        <f t="shared" si="1"/>
        <v>1</v>
      </c>
      <c r="K28" s="26">
        <f t="shared" si="2"/>
        <v>1</v>
      </c>
      <c r="L28" s="26">
        <f t="shared" si="3"/>
        <v>3</v>
      </c>
      <c r="M28" s="26"/>
      <c r="N28" s="26">
        <f t="shared" si="4"/>
        <v>1</v>
      </c>
      <c r="O28" s="26">
        <f t="shared" si="5"/>
        <v>4</v>
      </c>
      <c r="P28" s="136"/>
      <c r="Q28" s="26"/>
      <c r="R28" s="138" t="s">
        <v>38</v>
      </c>
      <c r="S28" s="139">
        <v>0</v>
      </c>
      <c r="T28" s="139">
        <v>0</v>
      </c>
      <c r="U28" s="139">
        <v>0</v>
      </c>
      <c r="V28" s="139">
        <v>0</v>
      </c>
      <c r="W28" s="139">
        <v>0</v>
      </c>
      <c r="X28" s="139">
        <v>0</v>
      </c>
      <c r="Y28" s="145">
        <f t="shared" si="6"/>
        <v>0</v>
      </c>
      <c r="Z28" s="26"/>
      <c r="AA28" s="26">
        <f t="shared" si="9"/>
        <v>0</v>
      </c>
      <c r="AB28" s="26">
        <f t="shared" si="10"/>
        <v>0</v>
      </c>
      <c r="AD28" s="26">
        <f t="shared" si="11"/>
        <v>0</v>
      </c>
      <c r="AE28" s="26">
        <f t="shared" si="12"/>
        <v>0</v>
      </c>
      <c r="AF28" s="26">
        <f t="shared" si="7"/>
        <v>0</v>
      </c>
    </row>
    <row r="29" spans="1:32" x14ac:dyDescent="0.25">
      <c r="A29" s="3" t="s">
        <v>20</v>
      </c>
      <c r="B29" s="8">
        <v>0</v>
      </c>
      <c r="C29" s="20">
        <v>0</v>
      </c>
      <c r="D29" s="20">
        <v>0</v>
      </c>
      <c r="E29" s="20">
        <v>0</v>
      </c>
      <c r="F29" s="20">
        <v>2</v>
      </c>
      <c r="G29" s="20">
        <v>1</v>
      </c>
      <c r="H29" s="26">
        <f t="shared" si="0"/>
        <v>3</v>
      </c>
      <c r="I29" s="266">
        <f t="shared" si="8"/>
        <v>1.1363636363636365</v>
      </c>
      <c r="J29" s="26">
        <f t="shared" si="1"/>
        <v>0</v>
      </c>
      <c r="K29" s="26">
        <f t="shared" si="2"/>
        <v>0</v>
      </c>
      <c r="L29" s="26">
        <f t="shared" si="3"/>
        <v>3</v>
      </c>
      <c r="M29" s="26"/>
      <c r="N29" s="26">
        <f t="shared" si="4"/>
        <v>0</v>
      </c>
      <c r="O29" s="26">
        <f t="shared" si="5"/>
        <v>3</v>
      </c>
      <c r="P29" s="136"/>
      <c r="Q29" s="26"/>
      <c r="R29" s="138" t="s">
        <v>20</v>
      </c>
      <c r="S29" s="139">
        <v>0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45">
        <f t="shared" si="6"/>
        <v>0</v>
      </c>
      <c r="Z29" s="26"/>
      <c r="AA29" s="26">
        <f t="shared" si="9"/>
        <v>0</v>
      </c>
      <c r="AB29" s="26">
        <f t="shared" si="10"/>
        <v>0</v>
      </c>
      <c r="AD29" s="26">
        <f t="shared" si="11"/>
        <v>0</v>
      </c>
      <c r="AE29" s="26">
        <f t="shared" si="12"/>
        <v>0</v>
      </c>
      <c r="AF29" s="26">
        <f t="shared" si="7"/>
        <v>0</v>
      </c>
    </row>
    <row r="30" spans="1:32" x14ac:dyDescent="0.25">
      <c r="A30" s="2" t="s">
        <v>154</v>
      </c>
      <c r="B30" s="8">
        <v>0</v>
      </c>
      <c r="C30" s="20">
        <v>0</v>
      </c>
      <c r="D30" s="20">
        <v>1</v>
      </c>
      <c r="E30" s="20">
        <v>0</v>
      </c>
      <c r="F30" s="20">
        <v>0</v>
      </c>
      <c r="G30" s="20">
        <v>1</v>
      </c>
      <c r="H30" s="26">
        <f t="shared" si="0"/>
        <v>2</v>
      </c>
      <c r="I30" s="266">
        <f t="shared" si="8"/>
        <v>0.75757575757575757</v>
      </c>
      <c r="J30" s="26">
        <f t="shared" si="1"/>
        <v>0</v>
      </c>
      <c r="K30" s="26">
        <f t="shared" si="2"/>
        <v>1</v>
      </c>
      <c r="L30" s="26">
        <f t="shared" si="3"/>
        <v>1</v>
      </c>
      <c r="M30" s="26"/>
      <c r="N30" s="26">
        <f t="shared" si="4"/>
        <v>1</v>
      </c>
      <c r="O30" s="26">
        <f t="shared" si="5"/>
        <v>1</v>
      </c>
      <c r="P30" s="136"/>
      <c r="Q30" s="26"/>
      <c r="R30" s="2" t="s">
        <v>154</v>
      </c>
      <c r="S30" s="20">
        <v>0</v>
      </c>
      <c r="T30" s="20">
        <v>5</v>
      </c>
      <c r="U30" s="20">
        <v>1</v>
      </c>
      <c r="V30" s="20">
        <v>0</v>
      </c>
      <c r="W30" s="20">
        <v>0</v>
      </c>
      <c r="X30" s="20">
        <v>0</v>
      </c>
      <c r="Y30" s="26">
        <f t="shared" si="6"/>
        <v>6</v>
      </c>
      <c r="Z30" s="26"/>
      <c r="AA30" s="26">
        <f t="shared" si="9"/>
        <v>6</v>
      </c>
      <c r="AB30" s="26">
        <f t="shared" si="10"/>
        <v>0</v>
      </c>
      <c r="AD30" s="26">
        <f t="shared" si="11"/>
        <v>5</v>
      </c>
      <c r="AE30" s="26">
        <f t="shared" si="12"/>
        <v>1</v>
      </c>
      <c r="AF30" s="26">
        <f t="shared" si="7"/>
        <v>0</v>
      </c>
    </row>
    <row r="31" spans="1:32" x14ac:dyDescent="0.25">
      <c r="A31" s="2" t="s">
        <v>139</v>
      </c>
      <c r="B31" s="8">
        <v>2</v>
      </c>
      <c r="C31" s="20">
        <v>0</v>
      </c>
      <c r="D31" s="20">
        <v>2</v>
      </c>
      <c r="E31" s="20">
        <v>15</v>
      </c>
      <c r="F31" s="20">
        <v>2</v>
      </c>
      <c r="G31" s="20">
        <v>7</v>
      </c>
      <c r="H31" s="26">
        <f t="shared" si="0"/>
        <v>28</v>
      </c>
      <c r="I31" s="266">
        <f t="shared" si="8"/>
        <v>10.606060606060606</v>
      </c>
      <c r="J31" s="26">
        <f t="shared" si="1"/>
        <v>2</v>
      </c>
      <c r="K31" s="26">
        <f t="shared" si="2"/>
        <v>17</v>
      </c>
      <c r="L31" s="26">
        <f t="shared" si="3"/>
        <v>9</v>
      </c>
      <c r="M31" s="26"/>
      <c r="N31" s="26">
        <f t="shared" si="4"/>
        <v>4</v>
      </c>
      <c r="O31" s="26">
        <f t="shared" si="5"/>
        <v>24</v>
      </c>
      <c r="P31" s="136"/>
      <c r="Q31" s="26"/>
      <c r="R31" s="2" t="s">
        <v>139</v>
      </c>
      <c r="S31" s="20">
        <v>3</v>
      </c>
      <c r="T31" s="20">
        <v>0</v>
      </c>
      <c r="U31" s="20">
        <v>0</v>
      </c>
      <c r="V31" s="20">
        <v>1</v>
      </c>
      <c r="W31" s="20">
        <v>5</v>
      </c>
      <c r="X31" s="20">
        <v>0</v>
      </c>
      <c r="Y31" s="26">
        <f t="shared" si="6"/>
        <v>9</v>
      </c>
      <c r="Z31" s="26"/>
      <c r="AA31" s="26">
        <f t="shared" si="9"/>
        <v>3</v>
      </c>
      <c r="AB31" s="26">
        <f t="shared" si="10"/>
        <v>6</v>
      </c>
      <c r="AD31" s="26">
        <f t="shared" si="11"/>
        <v>3</v>
      </c>
      <c r="AE31" s="26">
        <f t="shared" si="12"/>
        <v>1</v>
      </c>
      <c r="AF31" s="26">
        <f t="shared" si="7"/>
        <v>5</v>
      </c>
    </row>
    <row r="32" spans="1:32" x14ac:dyDescent="0.25">
      <c r="A32" s="3" t="s">
        <v>164</v>
      </c>
      <c r="B32" s="8">
        <v>0</v>
      </c>
      <c r="C32" s="11">
        <v>1</v>
      </c>
      <c r="D32" s="11">
        <v>0</v>
      </c>
      <c r="E32" s="11">
        <v>0</v>
      </c>
      <c r="F32" s="11">
        <v>1</v>
      </c>
      <c r="G32" s="11">
        <v>2</v>
      </c>
      <c r="H32" s="26">
        <f t="shared" si="0"/>
        <v>4</v>
      </c>
      <c r="I32" s="266">
        <f t="shared" si="8"/>
        <v>1.5151515151515151</v>
      </c>
      <c r="J32" s="26">
        <f t="shared" si="1"/>
        <v>1</v>
      </c>
      <c r="K32" s="26">
        <f t="shared" si="2"/>
        <v>0</v>
      </c>
      <c r="L32" s="26">
        <f t="shared" si="3"/>
        <v>3</v>
      </c>
      <c r="M32" s="26"/>
      <c r="N32" s="26">
        <f t="shared" si="4"/>
        <v>1</v>
      </c>
      <c r="O32" s="26">
        <f t="shared" si="5"/>
        <v>3</v>
      </c>
      <c r="P32" s="136"/>
      <c r="Q32" s="26"/>
      <c r="R32" s="3" t="s">
        <v>164</v>
      </c>
      <c r="S32" s="11">
        <v>0</v>
      </c>
      <c r="T32" s="11">
        <v>0</v>
      </c>
      <c r="U32" s="11">
        <v>0</v>
      </c>
      <c r="V32" s="11">
        <v>3</v>
      </c>
      <c r="W32" s="11">
        <v>1</v>
      </c>
      <c r="X32" s="11">
        <v>0</v>
      </c>
      <c r="Y32" s="26">
        <f t="shared" si="6"/>
        <v>4</v>
      </c>
      <c r="Z32" s="26"/>
      <c r="AA32" s="26">
        <f t="shared" si="9"/>
        <v>0</v>
      </c>
      <c r="AB32" s="26">
        <f t="shared" si="10"/>
        <v>4</v>
      </c>
      <c r="AD32" s="26">
        <f t="shared" si="11"/>
        <v>0</v>
      </c>
      <c r="AE32" s="26">
        <f t="shared" si="12"/>
        <v>3</v>
      </c>
      <c r="AF32" s="26">
        <f t="shared" si="7"/>
        <v>1</v>
      </c>
    </row>
    <row r="33" spans="1:32" x14ac:dyDescent="0.25">
      <c r="A33" s="2" t="s">
        <v>171</v>
      </c>
      <c r="B33" s="8">
        <v>0</v>
      </c>
      <c r="C33" s="20">
        <v>0</v>
      </c>
      <c r="D33" s="20">
        <v>0</v>
      </c>
      <c r="E33" s="20">
        <v>1</v>
      </c>
      <c r="F33" s="20">
        <v>1</v>
      </c>
      <c r="G33" s="20">
        <v>2</v>
      </c>
      <c r="H33" s="26">
        <f t="shared" si="0"/>
        <v>4</v>
      </c>
      <c r="I33" s="266">
        <f t="shared" si="8"/>
        <v>1.5151515151515151</v>
      </c>
      <c r="J33" s="26">
        <f t="shared" si="1"/>
        <v>0</v>
      </c>
      <c r="K33" s="26">
        <f t="shared" si="2"/>
        <v>1</v>
      </c>
      <c r="L33" s="26">
        <f t="shared" si="3"/>
        <v>3</v>
      </c>
      <c r="M33" s="26"/>
      <c r="N33" s="26">
        <f t="shared" si="4"/>
        <v>0</v>
      </c>
      <c r="O33" s="26">
        <f t="shared" si="5"/>
        <v>4</v>
      </c>
      <c r="P33" s="136"/>
      <c r="Q33" s="26"/>
      <c r="R33" s="2" t="s">
        <v>171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1</v>
      </c>
      <c r="Y33" s="26">
        <f t="shared" si="6"/>
        <v>1</v>
      </c>
      <c r="Z33" s="26"/>
      <c r="AA33" s="26">
        <f t="shared" si="9"/>
        <v>0</v>
      </c>
      <c r="AB33" s="26">
        <f t="shared" si="10"/>
        <v>1</v>
      </c>
      <c r="AD33" s="26">
        <f t="shared" si="11"/>
        <v>0</v>
      </c>
      <c r="AE33" s="26">
        <f t="shared" si="12"/>
        <v>0</v>
      </c>
      <c r="AF33" s="26">
        <f t="shared" si="7"/>
        <v>1</v>
      </c>
    </row>
    <row r="34" spans="1:32" x14ac:dyDescent="0.25">
      <c r="A34" s="2" t="s">
        <v>168</v>
      </c>
      <c r="B34" s="8">
        <v>0</v>
      </c>
      <c r="C34" s="20">
        <v>0</v>
      </c>
      <c r="D34" s="20">
        <v>0</v>
      </c>
      <c r="E34" s="20">
        <v>1</v>
      </c>
      <c r="F34" s="20">
        <v>0</v>
      </c>
      <c r="G34" s="20">
        <v>1</v>
      </c>
      <c r="H34" s="26">
        <f t="shared" si="0"/>
        <v>2</v>
      </c>
      <c r="I34" s="266">
        <f t="shared" si="8"/>
        <v>0.75757575757575757</v>
      </c>
      <c r="J34" s="26">
        <f t="shared" si="1"/>
        <v>0</v>
      </c>
      <c r="K34" s="26">
        <f t="shared" si="2"/>
        <v>1</v>
      </c>
      <c r="L34" s="26">
        <f t="shared" si="3"/>
        <v>1</v>
      </c>
      <c r="M34" s="26"/>
      <c r="N34" s="26">
        <f t="shared" si="4"/>
        <v>0</v>
      </c>
      <c r="O34" s="26">
        <f t="shared" si="5"/>
        <v>2</v>
      </c>
      <c r="P34" s="136"/>
      <c r="Q34" s="26"/>
      <c r="R34" s="2" t="s">
        <v>168</v>
      </c>
      <c r="S34" s="20">
        <v>0</v>
      </c>
      <c r="T34" s="20">
        <v>2</v>
      </c>
      <c r="U34" s="20">
        <v>0</v>
      </c>
      <c r="V34" s="20">
        <v>0</v>
      </c>
      <c r="W34" s="20">
        <v>0</v>
      </c>
      <c r="X34" s="20">
        <v>2</v>
      </c>
      <c r="Y34" s="26">
        <f t="shared" si="6"/>
        <v>4</v>
      </c>
      <c r="Z34" s="26"/>
      <c r="AA34" s="26">
        <f t="shared" si="9"/>
        <v>2</v>
      </c>
      <c r="AB34" s="26">
        <f t="shared" si="10"/>
        <v>2</v>
      </c>
      <c r="AD34" s="26">
        <f t="shared" si="11"/>
        <v>2</v>
      </c>
      <c r="AE34" s="26">
        <f t="shared" si="12"/>
        <v>0</v>
      </c>
      <c r="AF34" s="26">
        <f t="shared" si="7"/>
        <v>2</v>
      </c>
    </row>
    <row r="35" spans="1:32" x14ac:dyDescent="0.25">
      <c r="A35" s="7" t="s">
        <v>271</v>
      </c>
      <c r="B35" s="11">
        <v>1</v>
      </c>
      <c r="C35" s="20">
        <v>0</v>
      </c>
      <c r="D35" s="20">
        <v>0</v>
      </c>
      <c r="E35" s="20">
        <v>1</v>
      </c>
      <c r="F35" s="20">
        <v>0</v>
      </c>
      <c r="G35" s="20">
        <v>0</v>
      </c>
      <c r="H35" s="26">
        <f t="shared" si="0"/>
        <v>2</v>
      </c>
      <c r="I35" s="266">
        <f t="shared" si="8"/>
        <v>0.75757575757575757</v>
      </c>
      <c r="J35" s="137">
        <f t="shared" si="1"/>
        <v>1</v>
      </c>
      <c r="K35" s="137">
        <f t="shared" si="2"/>
        <v>1</v>
      </c>
      <c r="L35" s="137">
        <f t="shared" si="3"/>
        <v>0</v>
      </c>
      <c r="M35" s="26"/>
      <c r="N35" s="137">
        <f t="shared" si="4"/>
        <v>1</v>
      </c>
      <c r="O35" s="137">
        <f t="shared" si="5"/>
        <v>1</v>
      </c>
      <c r="P35" s="136"/>
      <c r="Q35" s="26"/>
      <c r="R35" s="147" t="s">
        <v>271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45">
        <f t="shared" si="6"/>
        <v>0</v>
      </c>
      <c r="Z35" s="26"/>
      <c r="AA35" s="137">
        <f t="shared" si="9"/>
        <v>0</v>
      </c>
      <c r="AB35" s="137">
        <f t="shared" si="10"/>
        <v>0</v>
      </c>
      <c r="AD35" s="137">
        <f t="shared" si="11"/>
        <v>0</v>
      </c>
      <c r="AE35" s="137">
        <f t="shared" si="12"/>
        <v>0</v>
      </c>
      <c r="AF35" s="137">
        <f t="shared" si="7"/>
        <v>0</v>
      </c>
    </row>
    <row r="36" spans="1:32" x14ac:dyDescent="0.25">
      <c r="B36" s="161">
        <f t="shared" ref="B36:G36" si="13">SUM(B3:B35)</f>
        <v>26</v>
      </c>
      <c r="C36" s="161">
        <f t="shared" si="13"/>
        <v>22</v>
      </c>
      <c r="D36" s="161">
        <f t="shared" si="13"/>
        <v>56</v>
      </c>
      <c r="E36" s="161">
        <f t="shared" si="13"/>
        <v>83</v>
      </c>
      <c r="F36" s="161">
        <f t="shared" si="13"/>
        <v>25</v>
      </c>
      <c r="G36" s="161">
        <f t="shared" si="13"/>
        <v>52</v>
      </c>
      <c r="J36" s="26">
        <f>SUM(J3:J35)</f>
        <v>48</v>
      </c>
      <c r="K36" s="26">
        <f>SUM(K3:K35)</f>
        <v>139</v>
      </c>
      <c r="L36" s="26">
        <f>SUM(L3:L35)</f>
        <v>77</v>
      </c>
      <c r="M36" s="26"/>
      <c r="N36" s="26">
        <f>SUM(N3:N35)</f>
        <v>104</v>
      </c>
      <c r="O36" s="26">
        <f>SUM(O3:O35)</f>
        <v>160</v>
      </c>
      <c r="P36" s="136"/>
      <c r="Q36" s="26"/>
      <c r="S36" s="161">
        <f t="shared" ref="S36:X36" si="14">SUM(S3:S35)</f>
        <v>31</v>
      </c>
      <c r="T36" s="161">
        <f t="shared" si="14"/>
        <v>62</v>
      </c>
      <c r="U36" s="161">
        <f t="shared" si="14"/>
        <v>8</v>
      </c>
      <c r="V36" s="161">
        <f t="shared" si="14"/>
        <v>11</v>
      </c>
      <c r="W36" s="161">
        <f t="shared" si="14"/>
        <v>23</v>
      </c>
      <c r="X36" s="161">
        <f t="shared" si="14"/>
        <v>22</v>
      </c>
      <c r="Y36" s="26"/>
      <c r="Z36" s="26"/>
      <c r="AA36" s="26">
        <f>SUM(AA3:AA35)</f>
        <v>101</v>
      </c>
      <c r="AB36" s="26">
        <f>SUM(AB3:AB35)</f>
        <v>56</v>
      </c>
      <c r="AD36" s="26">
        <f>SUM(AD3:AD35)</f>
        <v>93</v>
      </c>
      <c r="AE36" s="26">
        <f>SUM(AE3:AE35)</f>
        <v>19</v>
      </c>
      <c r="AF36" s="26">
        <f>SUM(AF3:AF35)</f>
        <v>45</v>
      </c>
    </row>
    <row r="37" spans="1:32" ht="21" customHeight="1" x14ac:dyDescent="0.25">
      <c r="B37" s="26" t="s">
        <v>371</v>
      </c>
      <c r="C37" t="s">
        <v>372</v>
      </c>
      <c r="D37" t="s">
        <v>373</v>
      </c>
      <c r="E37" t="s">
        <v>438</v>
      </c>
      <c r="F37" t="s">
        <v>439</v>
      </c>
      <c r="G37" t="s">
        <v>440</v>
      </c>
      <c r="J37" s="26"/>
      <c r="K37" s="26"/>
      <c r="L37" s="26"/>
      <c r="M37" s="26"/>
      <c r="N37" s="26"/>
      <c r="O37" s="26"/>
      <c r="P37" s="136"/>
      <c r="Q37" s="26"/>
      <c r="S37" s="26" t="s">
        <v>371</v>
      </c>
      <c r="T37" t="s">
        <v>372</v>
      </c>
      <c r="U37" t="s">
        <v>373</v>
      </c>
      <c r="V37" t="s">
        <v>438</v>
      </c>
      <c r="W37" t="s">
        <v>439</v>
      </c>
      <c r="X37" t="s">
        <v>440</v>
      </c>
      <c r="AA37" s="26"/>
      <c r="AB37" s="26"/>
      <c r="AD37" s="26"/>
      <c r="AE37" s="26"/>
      <c r="AF37" s="26"/>
    </row>
    <row r="39" spans="1:32" x14ac:dyDescent="0.25">
      <c r="A39" t="s">
        <v>328</v>
      </c>
      <c r="R39" t="s">
        <v>328</v>
      </c>
    </row>
    <row r="40" spans="1:32" x14ac:dyDescent="0.25">
      <c r="A40" s="161">
        <v>6</v>
      </c>
      <c r="R40" s="16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"/>
  <sheetViews>
    <sheetView tabSelected="1" zoomScaleNormal="100" workbookViewId="0">
      <selection activeCell="E3" sqref="E3"/>
    </sheetView>
  </sheetViews>
  <sheetFormatPr baseColWidth="10" defaultRowHeight="15" x14ac:dyDescent="0.25"/>
  <cols>
    <col min="1" max="1" width="16.42578125" customWidth="1"/>
    <col min="2" max="2" width="22.7109375" customWidth="1"/>
    <col min="3" max="3" width="23.28515625" customWidth="1"/>
    <col min="4" max="4" width="7.7109375" style="26" customWidth="1"/>
    <col min="5" max="5" width="7.85546875" customWidth="1"/>
    <col min="6" max="6" width="7.7109375" customWidth="1"/>
    <col min="7" max="7" width="8.7109375" customWidth="1"/>
    <col min="8" max="8" width="8.140625" customWidth="1"/>
    <col min="9" max="9" width="7.7109375" customWidth="1"/>
    <col min="10" max="10" width="4.42578125" customWidth="1"/>
    <col min="11" max="11" width="8.85546875" customWidth="1"/>
    <col min="12" max="12" width="6.5703125" bestFit="1" customWidth="1"/>
    <col min="13" max="13" width="6.140625" bestFit="1" customWidth="1"/>
    <col min="14" max="14" width="7.85546875" customWidth="1"/>
    <col min="15" max="16" width="7.42578125" customWidth="1"/>
    <col min="17" max="17" width="8.85546875" customWidth="1"/>
    <col min="18" max="18" width="3.85546875" style="134" customWidth="1"/>
    <col min="19" max="19" width="8.85546875" customWidth="1"/>
    <col min="20" max="20" width="19.140625" customWidth="1"/>
    <col min="21" max="21" width="21.140625" customWidth="1"/>
    <col min="22" max="22" width="8.85546875" hidden="1" customWidth="1"/>
    <col min="23" max="23" width="19.85546875" customWidth="1"/>
    <col min="24" max="24" width="8.85546875" customWidth="1"/>
    <col min="25" max="25" width="8.7109375" customWidth="1"/>
    <col min="26" max="26" width="8.28515625" customWidth="1"/>
    <col min="27" max="27" width="8.85546875" customWidth="1"/>
    <col min="28" max="28" width="8" customWidth="1"/>
    <col min="29" max="29" width="6.85546875" customWidth="1"/>
    <col min="30" max="30" width="4.42578125" customWidth="1"/>
    <col min="31" max="31" width="9.28515625" customWidth="1"/>
    <col min="32" max="33" width="4.28515625" customWidth="1"/>
    <col min="34" max="34" width="9" customWidth="1"/>
    <col min="35" max="35" width="8.28515625" customWidth="1"/>
    <col min="36" max="37" width="8.85546875" customWidth="1"/>
  </cols>
  <sheetData>
    <row r="1" spans="1:38" s="172" customFormat="1" ht="21.75" customHeight="1" x14ac:dyDescent="0.25">
      <c r="A1" s="171"/>
      <c r="C1" s="172" t="s">
        <v>422</v>
      </c>
      <c r="D1" s="171"/>
      <c r="O1" s="172" t="s">
        <v>423</v>
      </c>
      <c r="R1" s="173"/>
      <c r="W1" s="172" t="s">
        <v>424</v>
      </c>
      <c r="AI1" s="172" t="s">
        <v>423</v>
      </c>
    </row>
    <row r="2" spans="1:38" x14ac:dyDescent="0.25">
      <c r="A2" s="59" t="s">
        <v>3</v>
      </c>
      <c r="B2" s="59" t="s">
        <v>5</v>
      </c>
      <c r="C2" s="58" t="s">
        <v>354</v>
      </c>
      <c r="D2" s="61" t="s">
        <v>425</v>
      </c>
      <c r="E2" s="61" t="s">
        <v>426</v>
      </c>
      <c r="F2" s="61" t="s">
        <v>427</v>
      </c>
      <c r="G2" s="61" t="s">
        <v>428</v>
      </c>
      <c r="H2" s="61" t="s">
        <v>429</v>
      </c>
      <c r="I2" s="61" t="s">
        <v>430</v>
      </c>
      <c r="J2" s="124" t="s">
        <v>369</v>
      </c>
      <c r="K2" s="74"/>
      <c r="L2" s="162" t="s">
        <v>387</v>
      </c>
      <c r="M2" s="163" t="s">
        <v>388</v>
      </c>
      <c r="N2" s="74"/>
      <c r="O2" s="162" t="s">
        <v>374</v>
      </c>
      <c r="P2" s="163" t="s">
        <v>375</v>
      </c>
      <c r="Q2" s="73" t="s">
        <v>376</v>
      </c>
      <c r="R2" s="76"/>
      <c r="S2" s="74"/>
      <c r="T2" s="59" t="s">
        <v>3</v>
      </c>
      <c r="U2" s="59" t="s">
        <v>5</v>
      </c>
      <c r="V2" s="58" t="s">
        <v>354</v>
      </c>
      <c r="W2" s="58" t="s">
        <v>354</v>
      </c>
      <c r="X2" s="61" t="s">
        <v>359</v>
      </c>
      <c r="Y2" s="61" t="s">
        <v>361</v>
      </c>
      <c r="Z2" s="61" t="s">
        <v>362</v>
      </c>
      <c r="AA2" s="61" t="s">
        <v>363</v>
      </c>
      <c r="AB2" s="61" t="s">
        <v>365</v>
      </c>
      <c r="AC2" s="61" t="s">
        <v>367</v>
      </c>
      <c r="AD2" s="126" t="s">
        <v>370</v>
      </c>
      <c r="AF2" s="61" t="s">
        <v>389</v>
      </c>
      <c r="AG2" s="61" t="s">
        <v>390</v>
      </c>
      <c r="AI2" s="163" t="s">
        <v>377</v>
      </c>
      <c r="AJ2" s="61" t="s">
        <v>378</v>
      </c>
      <c r="AK2" s="73" t="s">
        <v>379</v>
      </c>
      <c r="AL2" s="73"/>
    </row>
    <row r="3" spans="1:38" ht="15.75" x14ac:dyDescent="0.25">
      <c r="A3" s="3" t="s">
        <v>175</v>
      </c>
      <c r="B3" s="3" t="s">
        <v>177</v>
      </c>
      <c r="C3" s="64" t="s">
        <v>178</v>
      </c>
      <c r="D3" s="148">
        <v>3</v>
      </c>
      <c r="E3" s="11">
        <v>1</v>
      </c>
      <c r="F3" s="11">
        <v>6</v>
      </c>
      <c r="G3" s="11">
        <v>1</v>
      </c>
      <c r="H3" s="11">
        <v>0</v>
      </c>
      <c r="I3" s="11">
        <v>0</v>
      </c>
      <c r="J3" s="125">
        <f>SUM(D3:I3)</f>
        <v>11</v>
      </c>
      <c r="K3" s="25"/>
      <c r="L3" s="135">
        <f>SUM(D3:F3)</f>
        <v>10</v>
      </c>
      <c r="M3" s="25">
        <f>SUM(G3:I3)</f>
        <v>1</v>
      </c>
      <c r="N3" s="25"/>
      <c r="O3" s="135">
        <f>SUM(D3:E3)</f>
        <v>4</v>
      </c>
      <c r="P3" s="127">
        <f>SUM(F3:G3)</f>
        <v>7</v>
      </c>
      <c r="Q3" s="25">
        <f>SUM(H3:I3)</f>
        <v>0</v>
      </c>
      <c r="R3" s="135"/>
      <c r="S3" s="25"/>
      <c r="T3" s="3" t="s">
        <v>175</v>
      </c>
      <c r="U3" s="3" t="s">
        <v>177</v>
      </c>
      <c r="V3" s="64" t="s">
        <v>178</v>
      </c>
      <c r="W3" s="64" t="s">
        <v>178</v>
      </c>
      <c r="X3" s="11">
        <v>1</v>
      </c>
      <c r="Y3" s="11">
        <v>0</v>
      </c>
      <c r="Z3" s="11">
        <v>0</v>
      </c>
      <c r="AA3" s="11">
        <v>0</v>
      </c>
      <c r="AB3" s="11">
        <v>1</v>
      </c>
      <c r="AC3" s="11">
        <v>0</v>
      </c>
      <c r="AD3" s="125">
        <f>SUM(X3:AC3)</f>
        <v>2</v>
      </c>
      <c r="AE3" s="25"/>
      <c r="AF3" s="60">
        <f t="shared" ref="AF3:AF34" si="0">SUM(X3:Z3)</f>
        <v>1</v>
      </c>
      <c r="AG3" s="60">
        <f>SUM(AA3:AC3)</f>
        <v>1</v>
      </c>
      <c r="AI3" s="135">
        <f>SUM(X3:Y3)</f>
        <v>1</v>
      </c>
      <c r="AJ3" s="60">
        <f>SUM(Z3:AA3)</f>
        <v>0</v>
      </c>
      <c r="AK3" s="168">
        <f>SUM(AB3:AC3)</f>
        <v>1</v>
      </c>
      <c r="AL3" s="25"/>
    </row>
    <row r="4" spans="1:38" ht="15.75" x14ac:dyDescent="0.25">
      <c r="A4" s="3" t="s">
        <v>185</v>
      </c>
      <c r="B4" s="155" t="s">
        <v>220</v>
      </c>
      <c r="C4" s="156" t="s">
        <v>221</v>
      </c>
      <c r="D4" s="157">
        <v>0</v>
      </c>
      <c r="E4" s="151">
        <v>0</v>
      </c>
      <c r="F4" s="151">
        <v>0</v>
      </c>
      <c r="G4" s="151">
        <v>0</v>
      </c>
      <c r="H4" s="151">
        <v>0</v>
      </c>
      <c r="I4" s="151">
        <v>0</v>
      </c>
      <c r="J4" s="152">
        <f t="shared" ref="J4:J54" si="1">SUM(D4:I4)</f>
        <v>0</v>
      </c>
      <c r="K4" s="75"/>
      <c r="L4" s="135">
        <f t="shared" ref="L4:L34" si="2">SUM(D4:F4)</f>
        <v>0</v>
      </c>
      <c r="M4" s="25">
        <f t="shared" ref="M4:M55" si="3">SUM(G4:I4)</f>
        <v>0</v>
      </c>
      <c r="N4" s="25"/>
      <c r="O4" s="135">
        <f t="shared" ref="O4:O55" si="4">SUM(D4:E4)</f>
        <v>0</v>
      </c>
      <c r="P4" s="127">
        <f t="shared" ref="P4:P55" si="5">SUM(F4:G4)</f>
        <v>0</v>
      </c>
      <c r="Q4" s="25">
        <f t="shared" ref="Q4:Q55" si="6">SUM(H4:I4)</f>
        <v>0</v>
      </c>
      <c r="R4" s="135"/>
      <c r="S4" s="25"/>
      <c r="T4" s="3" t="s">
        <v>185</v>
      </c>
      <c r="U4" s="15" t="s">
        <v>220</v>
      </c>
      <c r="V4" s="65" t="s">
        <v>221</v>
      </c>
      <c r="W4" s="65" t="s">
        <v>221</v>
      </c>
      <c r="X4" s="148">
        <v>0</v>
      </c>
      <c r="Y4" s="148">
        <v>0</v>
      </c>
      <c r="Z4" s="148">
        <v>0</v>
      </c>
      <c r="AA4" s="148">
        <v>1</v>
      </c>
      <c r="AB4" s="148">
        <v>1</v>
      </c>
      <c r="AC4" s="148">
        <v>2</v>
      </c>
      <c r="AD4" s="125">
        <f t="shared" ref="AD4:AD55" si="7">SUM(X4:AC4)</f>
        <v>4</v>
      </c>
      <c r="AE4" s="25"/>
      <c r="AF4" s="60">
        <f t="shared" si="0"/>
        <v>0</v>
      </c>
      <c r="AG4" s="60">
        <f t="shared" ref="AG4:AG55" si="8">SUM(AA4:AC4)</f>
        <v>4</v>
      </c>
      <c r="AI4" s="135">
        <f t="shared" ref="AI4:AI55" si="9">SUM(X4:Y4)</f>
        <v>0</v>
      </c>
      <c r="AJ4" s="60">
        <f t="shared" ref="AJ4:AJ55" si="10">SUM(Z4:AA4)</f>
        <v>1</v>
      </c>
      <c r="AK4" s="168">
        <f t="shared" ref="AK4:AK55" si="11">SUM(AB4:AC4)</f>
        <v>3</v>
      </c>
      <c r="AL4" s="25"/>
    </row>
    <row r="5" spans="1:38" ht="15.75" x14ac:dyDescent="0.25">
      <c r="A5" s="3" t="s">
        <v>185</v>
      </c>
      <c r="B5" s="15" t="s">
        <v>220</v>
      </c>
      <c r="C5" s="64" t="s">
        <v>224</v>
      </c>
      <c r="D5" s="148">
        <v>0</v>
      </c>
      <c r="E5" s="148">
        <v>0</v>
      </c>
      <c r="F5" s="148">
        <v>0</v>
      </c>
      <c r="G5" s="148">
        <v>0</v>
      </c>
      <c r="H5" s="148">
        <v>1</v>
      </c>
      <c r="I5" s="148">
        <v>0</v>
      </c>
      <c r="J5" s="125">
        <f t="shared" si="1"/>
        <v>1</v>
      </c>
      <c r="K5" s="75"/>
      <c r="L5" s="135">
        <f t="shared" si="2"/>
        <v>0</v>
      </c>
      <c r="M5" s="25">
        <f t="shared" si="3"/>
        <v>1</v>
      </c>
      <c r="N5" s="25"/>
      <c r="O5" s="135">
        <f t="shared" si="4"/>
        <v>0</v>
      </c>
      <c r="P5" s="127">
        <f t="shared" si="5"/>
        <v>0</v>
      </c>
      <c r="Q5" s="25">
        <f t="shared" si="6"/>
        <v>1</v>
      </c>
      <c r="R5" s="135"/>
      <c r="S5" s="25"/>
      <c r="T5" s="138" t="s">
        <v>185</v>
      </c>
      <c r="U5" s="155" t="s">
        <v>220</v>
      </c>
      <c r="V5" s="150" t="s">
        <v>224</v>
      </c>
      <c r="W5" s="150" t="s">
        <v>224</v>
      </c>
      <c r="X5" s="151">
        <v>0</v>
      </c>
      <c r="Y5" s="151">
        <v>0</v>
      </c>
      <c r="Z5" s="151">
        <v>0</v>
      </c>
      <c r="AA5" s="151">
        <v>0</v>
      </c>
      <c r="AB5" s="151">
        <v>0</v>
      </c>
      <c r="AC5" s="151">
        <v>0</v>
      </c>
      <c r="AD5" s="152">
        <f t="shared" si="7"/>
        <v>0</v>
      </c>
      <c r="AE5" s="25"/>
      <c r="AF5" s="60">
        <f t="shared" si="0"/>
        <v>0</v>
      </c>
      <c r="AG5" s="60">
        <f t="shared" si="8"/>
        <v>0</v>
      </c>
      <c r="AI5" s="135">
        <f t="shared" si="9"/>
        <v>0</v>
      </c>
      <c r="AJ5" s="60">
        <f t="shared" si="10"/>
        <v>0</v>
      </c>
      <c r="AK5" s="168">
        <f t="shared" si="11"/>
        <v>0</v>
      </c>
      <c r="AL5" s="25"/>
    </row>
    <row r="6" spans="1:38" ht="15.75" x14ac:dyDescent="0.25">
      <c r="A6" s="3" t="s">
        <v>185</v>
      </c>
      <c r="B6" s="3" t="s">
        <v>191</v>
      </c>
      <c r="C6" s="64" t="s">
        <v>192</v>
      </c>
      <c r="D6" s="148">
        <v>0</v>
      </c>
      <c r="E6" s="11">
        <v>0</v>
      </c>
      <c r="F6" s="11">
        <v>4</v>
      </c>
      <c r="G6" s="11">
        <v>2</v>
      </c>
      <c r="H6" s="11">
        <v>0</v>
      </c>
      <c r="I6" s="11">
        <v>1</v>
      </c>
      <c r="J6" s="125">
        <f t="shared" si="1"/>
        <v>7</v>
      </c>
      <c r="K6" s="25"/>
      <c r="L6" s="135">
        <f t="shared" si="2"/>
        <v>4</v>
      </c>
      <c r="M6" s="25">
        <f t="shared" si="3"/>
        <v>3</v>
      </c>
      <c r="N6" s="25"/>
      <c r="O6" s="135">
        <f t="shared" si="4"/>
        <v>0</v>
      </c>
      <c r="P6" s="127">
        <f t="shared" si="5"/>
        <v>6</v>
      </c>
      <c r="Q6" s="25">
        <f t="shared" si="6"/>
        <v>1</v>
      </c>
      <c r="R6" s="135"/>
      <c r="S6" s="25"/>
      <c r="T6" s="3" t="s">
        <v>185</v>
      </c>
      <c r="U6" s="3" t="s">
        <v>191</v>
      </c>
      <c r="V6" s="64" t="s">
        <v>192</v>
      </c>
      <c r="W6" s="64" t="s">
        <v>192</v>
      </c>
      <c r="X6" s="11">
        <v>3</v>
      </c>
      <c r="Y6" s="11">
        <v>0</v>
      </c>
      <c r="Z6" s="11">
        <v>0</v>
      </c>
      <c r="AA6" s="11">
        <v>1</v>
      </c>
      <c r="AB6" s="11">
        <v>1</v>
      </c>
      <c r="AC6" s="11">
        <v>0</v>
      </c>
      <c r="AD6" s="125">
        <f t="shared" si="7"/>
        <v>5</v>
      </c>
      <c r="AE6" s="25"/>
      <c r="AF6" s="60">
        <f t="shared" si="0"/>
        <v>3</v>
      </c>
      <c r="AG6" s="60">
        <f t="shared" si="8"/>
        <v>2</v>
      </c>
      <c r="AI6" s="135">
        <f t="shared" si="9"/>
        <v>3</v>
      </c>
      <c r="AJ6" s="60">
        <f t="shared" si="10"/>
        <v>1</v>
      </c>
      <c r="AK6" s="168">
        <f t="shared" si="11"/>
        <v>1</v>
      </c>
      <c r="AL6" s="25"/>
    </row>
    <row r="7" spans="1:38" ht="15.75" x14ac:dyDescent="0.25">
      <c r="A7" s="3" t="s">
        <v>185</v>
      </c>
      <c r="B7" s="3" t="s">
        <v>200</v>
      </c>
      <c r="C7" s="64" t="s">
        <v>201</v>
      </c>
      <c r="D7" s="148">
        <v>0</v>
      </c>
      <c r="E7" s="11">
        <v>0</v>
      </c>
      <c r="F7" s="11">
        <v>5</v>
      </c>
      <c r="G7" s="11">
        <v>0</v>
      </c>
      <c r="H7" s="11">
        <v>1</v>
      </c>
      <c r="I7" s="11">
        <v>0</v>
      </c>
      <c r="J7" s="125">
        <f t="shared" si="1"/>
        <v>6</v>
      </c>
      <c r="K7" s="25"/>
      <c r="L7" s="135">
        <f t="shared" si="2"/>
        <v>5</v>
      </c>
      <c r="M7" s="25">
        <f t="shared" si="3"/>
        <v>1</v>
      </c>
      <c r="N7" s="25"/>
      <c r="O7" s="135">
        <f t="shared" si="4"/>
        <v>0</v>
      </c>
      <c r="P7" s="127">
        <f t="shared" si="5"/>
        <v>5</v>
      </c>
      <c r="Q7" s="25">
        <f t="shared" si="6"/>
        <v>1</v>
      </c>
      <c r="R7" s="135"/>
      <c r="S7" s="25"/>
      <c r="T7" s="3" t="s">
        <v>185</v>
      </c>
      <c r="U7" s="3" t="s">
        <v>200</v>
      </c>
      <c r="V7" s="64" t="s">
        <v>201</v>
      </c>
      <c r="W7" s="64" t="s">
        <v>201</v>
      </c>
      <c r="X7" s="11">
        <v>0</v>
      </c>
      <c r="Y7" s="11">
        <v>3</v>
      </c>
      <c r="Z7" s="11">
        <v>0</v>
      </c>
      <c r="AA7" s="11">
        <v>0</v>
      </c>
      <c r="AB7" s="11">
        <v>0</v>
      </c>
      <c r="AC7" s="11">
        <v>1</v>
      </c>
      <c r="AD7" s="125">
        <f t="shared" si="7"/>
        <v>4</v>
      </c>
      <c r="AE7" s="25"/>
      <c r="AF7" s="60">
        <f t="shared" si="0"/>
        <v>3</v>
      </c>
      <c r="AG7" s="60">
        <f t="shared" si="8"/>
        <v>1</v>
      </c>
      <c r="AI7" s="135">
        <f t="shared" si="9"/>
        <v>3</v>
      </c>
      <c r="AJ7" s="60">
        <f t="shared" si="10"/>
        <v>0</v>
      </c>
      <c r="AK7" s="168">
        <f t="shared" si="11"/>
        <v>1</v>
      </c>
      <c r="AL7" s="25"/>
    </row>
    <row r="8" spans="1:38" ht="15.75" x14ac:dyDescent="0.25">
      <c r="A8" s="3" t="s">
        <v>185</v>
      </c>
      <c r="B8" s="3" t="s">
        <v>200</v>
      </c>
      <c r="C8" s="64" t="s">
        <v>203</v>
      </c>
      <c r="D8" s="148">
        <v>0</v>
      </c>
      <c r="E8" s="148">
        <v>0</v>
      </c>
      <c r="F8" s="148">
        <v>1</v>
      </c>
      <c r="G8" s="148">
        <v>0</v>
      </c>
      <c r="H8" s="148">
        <v>0</v>
      </c>
      <c r="I8" s="148">
        <v>0</v>
      </c>
      <c r="J8" s="125">
        <f t="shared" si="1"/>
        <v>1</v>
      </c>
      <c r="K8" s="75"/>
      <c r="L8" s="135">
        <f t="shared" si="2"/>
        <v>1</v>
      </c>
      <c r="M8" s="25">
        <f t="shared" si="3"/>
        <v>0</v>
      </c>
      <c r="N8" s="25"/>
      <c r="O8" s="135">
        <f t="shared" si="4"/>
        <v>0</v>
      </c>
      <c r="P8" s="127">
        <f t="shared" si="5"/>
        <v>1</v>
      </c>
      <c r="Q8" s="25">
        <f t="shared" si="6"/>
        <v>0</v>
      </c>
      <c r="R8" s="135"/>
      <c r="S8" s="25"/>
      <c r="T8" s="3" t="s">
        <v>185</v>
      </c>
      <c r="U8" s="3" t="s">
        <v>200</v>
      </c>
      <c r="V8" s="64" t="s">
        <v>203</v>
      </c>
      <c r="W8" s="64" t="s">
        <v>203</v>
      </c>
      <c r="X8" s="148">
        <v>0</v>
      </c>
      <c r="Y8" s="148">
        <v>4</v>
      </c>
      <c r="Z8" s="148">
        <v>0</v>
      </c>
      <c r="AA8" s="148">
        <v>0</v>
      </c>
      <c r="AB8" s="148">
        <v>0</v>
      </c>
      <c r="AC8" s="148">
        <v>0</v>
      </c>
      <c r="AD8" s="125">
        <f t="shared" si="7"/>
        <v>4</v>
      </c>
      <c r="AE8" s="25"/>
      <c r="AF8" s="60">
        <f t="shared" si="0"/>
        <v>4</v>
      </c>
      <c r="AG8" s="60">
        <f t="shared" si="8"/>
        <v>0</v>
      </c>
      <c r="AI8" s="135">
        <f t="shared" si="9"/>
        <v>4</v>
      </c>
      <c r="AJ8" s="60">
        <f t="shared" si="10"/>
        <v>0</v>
      </c>
      <c r="AK8" s="168">
        <f t="shared" si="11"/>
        <v>0</v>
      </c>
      <c r="AL8" s="25"/>
    </row>
    <row r="9" spans="1:38" ht="15.75" x14ac:dyDescent="0.25">
      <c r="A9" s="3" t="s">
        <v>185</v>
      </c>
      <c r="B9" s="3" t="s">
        <v>200</v>
      </c>
      <c r="C9" s="64" t="s">
        <v>204</v>
      </c>
      <c r="D9" s="148">
        <v>0</v>
      </c>
      <c r="E9" s="148">
        <v>0</v>
      </c>
      <c r="F9" s="148">
        <v>0</v>
      </c>
      <c r="G9" s="148">
        <v>0</v>
      </c>
      <c r="H9" s="148">
        <v>0</v>
      </c>
      <c r="I9" s="148">
        <v>1</v>
      </c>
      <c r="J9" s="125">
        <f t="shared" si="1"/>
        <v>1</v>
      </c>
      <c r="K9" s="75"/>
      <c r="L9" s="135">
        <f t="shared" si="2"/>
        <v>0</v>
      </c>
      <c r="M9" s="25">
        <f t="shared" si="3"/>
        <v>1</v>
      </c>
      <c r="N9" s="25"/>
      <c r="O9" s="135">
        <f t="shared" si="4"/>
        <v>0</v>
      </c>
      <c r="P9" s="127">
        <f t="shared" si="5"/>
        <v>0</v>
      </c>
      <c r="Q9" s="25">
        <f t="shared" si="6"/>
        <v>1</v>
      </c>
      <c r="R9" s="135"/>
      <c r="S9" s="25"/>
      <c r="T9" s="3" t="s">
        <v>185</v>
      </c>
      <c r="U9" s="3" t="s">
        <v>200</v>
      </c>
      <c r="V9" s="64" t="s">
        <v>204</v>
      </c>
      <c r="W9" s="64" t="s">
        <v>204</v>
      </c>
      <c r="X9" s="148">
        <v>0</v>
      </c>
      <c r="Y9" s="148">
        <v>2</v>
      </c>
      <c r="Z9" s="148">
        <v>0</v>
      </c>
      <c r="AA9" s="148">
        <v>0</v>
      </c>
      <c r="AB9" s="148">
        <v>0</v>
      </c>
      <c r="AC9" s="148">
        <v>0</v>
      </c>
      <c r="AD9" s="125">
        <f t="shared" si="7"/>
        <v>2</v>
      </c>
      <c r="AE9" s="25"/>
      <c r="AF9" s="60">
        <f t="shared" si="0"/>
        <v>2</v>
      </c>
      <c r="AG9" s="60">
        <f t="shared" si="8"/>
        <v>0</v>
      </c>
      <c r="AI9" s="135">
        <f t="shared" si="9"/>
        <v>2</v>
      </c>
      <c r="AJ9" s="60">
        <f t="shared" si="10"/>
        <v>0</v>
      </c>
      <c r="AK9" s="168">
        <f t="shared" si="11"/>
        <v>0</v>
      </c>
      <c r="AL9" s="25"/>
    </row>
    <row r="10" spans="1:38" ht="15.75" x14ac:dyDescent="0.25">
      <c r="A10" s="3" t="s">
        <v>185</v>
      </c>
      <c r="B10" s="138" t="s">
        <v>200</v>
      </c>
      <c r="C10" s="153" t="s">
        <v>205</v>
      </c>
      <c r="D10" s="154">
        <v>0</v>
      </c>
      <c r="E10" s="151">
        <v>0</v>
      </c>
      <c r="F10" s="154">
        <v>0</v>
      </c>
      <c r="G10" s="154">
        <v>0</v>
      </c>
      <c r="H10" s="151">
        <v>0</v>
      </c>
      <c r="I10" s="154">
        <v>0</v>
      </c>
      <c r="J10" s="152">
        <f t="shared" si="1"/>
        <v>0</v>
      </c>
      <c r="K10" s="75"/>
      <c r="L10" s="135">
        <f t="shared" si="2"/>
        <v>0</v>
      </c>
      <c r="M10" s="25">
        <f t="shared" si="3"/>
        <v>0</v>
      </c>
      <c r="N10" s="25"/>
      <c r="O10" s="135">
        <f t="shared" si="4"/>
        <v>0</v>
      </c>
      <c r="P10" s="127">
        <f t="shared" si="5"/>
        <v>0</v>
      </c>
      <c r="Q10" s="25">
        <f t="shared" si="6"/>
        <v>0</v>
      </c>
      <c r="R10" s="135"/>
      <c r="S10" s="25"/>
      <c r="T10" s="3" t="s">
        <v>185</v>
      </c>
      <c r="U10" s="3" t="s">
        <v>200</v>
      </c>
      <c r="V10" s="72" t="s">
        <v>205</v>
      </c>
      <c r="W10" s="72" t="s">
        <v>205</v>
      </c>
      <c r="X10" s="148">
        <v>0</v>
      </c>
      <c r="Y10" s="149">
        <v>1</v>
      </c>
      <c r="Z10" s="148">
        <v>0</v>
      </c>
      <c r="AA10" s="148">
        <v>0</v>
      </c>
      <c r="AB10" s="149">
        <v>0</v>
      </c>
      <c r="AC10" s="148">
        <v>0</v>
      </c>
      <c r="AD10" s="125">
        <f t="shared" si="7"/>
        <v>1</v>
      </c>
      <c r="AE10" s="25"/>
      <c r="AF10" s="60">
        <f t="shared" si="0"/>
        <v>1</v>
      </c>
      <c r="AG10" s="60">
        <f t="shared" si="8"/>
        <v>0</v>
      </c>
      <c r="AI10" s="135">
        <f t="shared" si="9"/>
        <v>1</v>
      </c>
      <c r="AJ10" s="60">
        <f t="shared" si="10"/>
        <v>0</v>
      </c>
      <c r="AK10" s="168">
        <f t="shared" si="11"/>
        <v>0</v>
      </c>
      <c r="AL10" s="25"/>
    </row>
    <row r="11" spans="1:38" ht="15.75" x14ac:dyDescent="0.25">
      <c r="A11" s="3" t="s">
        <v>185</v>
      </c>
      <c r="B11" s="3" t="s">
        <v>200</v>
      </c>
      <c r="C11" s="64" t="s">
        <v>207</v>
      </c>
      <c r="D11" s="148">
        <v>1</v>
      </c>
      <c r="E11" s="148">
        <v>2</v>
      </c>
      <c r="F11" s="148">
        <v>10</v>
      </c>
      <c r="G11" s="148">
        <v>4</v>
      </c>
      <c r="H11" s="148">
        <v>1</v>
      </c>
      <c r="I11" s="148">
        <v>0</v>
      </c>
      <c r="J11" s="125">
        <f t="shared" si="1"/>
        <v>18</v>
      </c>
      <c r="K11" s="75"/>
      <c r="L11" s="135">
        <f t="shared" si="2"/>
        <v>13</v>
      </c>
      <c r="M11" s="25">
        <f t="shared" si="3"/>
        <v>5</v>
      </c>
      <c r="N11" s="25"/>
      <c r="O11" s="135">
        <f t="shared" si="4"/>
        <v>3</v>
      </c>
      <c r="P11" s="127">
        <f t="shared" si="5"/>
        <v>14</v>
      </c>
      <c r="Q11" s="25">
        <f t="shared" si="6"/>
        <v>1</v>
      </c>
      <c r="R11" s="135"/>
      <c r="S11" s="25"/>
      <c r="T11" s="3" t="s">
        <v>185</v>
      </c>
      <c r="U11" s="3" t="s">
        <v>200</v>
      </c>
      <c r="V11" s="64" t="s">
        <v>207</v>
      </c>
      <c r="W11" s="64" t="s">
        <v>207</v>
      </c>
      <c r="X11" s="148">
        <v>3</v>
      </c>
      <c r="Y11" s="148">
        <v>17</v>
      </c>
      <c r="Z11" s="148">
        <v>0</v>
      </c>
      <c r="AA11" s="148">
        <v>0</v>
      </c>
      <c r="AB11" s="148">
        <v>1</v>
      </c>
      <c r="AC11" s="148">
        <v>0</v>
      </c>
      <c r="AD11" s="125">
        <f t="shared" si="7"/>
        <v>21</v>
      </c>
      <c r="AE11" s="25"/>
      <c r="AF11" s="60">
        <f t="shared" si="0"/>
        <v>20</v>
      </c>
      <c r="AG11" s="60">
        <f t="shared" si="8"/>
        <v>1</v>
      </c>
      <c r="AI11" s="135">
        <f t="shared" si="9"/>
        <v>20</v>
      </c>
      <c r="AJ11" s="60">
        <f t="shared" si="10"/>
        <v>0</v>
      </c>
      <c r="AK11" s="168">
        <f t="shared" si="11"/>
        <v>1</v>
      </c>
      <c r="AL11" s="25"/>
    </row>
    <row r="12" spans="1:38" ht="15.75" x14ac:dyDescent="0.25">
      <c r="A12" s="3" t="s">
        <v>185</v>
      </c>
      <c r="B12" s="3" t="s">
        <v>226</v>
      </c>
      <c r="C12" s="64" t="s">
        <v>229</v>
      </c>
      <c r="D12" s="148">
        <v>0</v>
      </c>
      <c r="E12" s="11">
        <v>1</v>
      </c>
      <c r="F12" s="11">
        <v>2</v>
      </c>
      <c r="G12" s="11">
        <v>15</v>
      </c>
      <c r="H12" s="11">
        <v>0</v>
      </c>
      <c r="I12" s="11">
        <v>0</v>
      </c>
      <c r="J12" s="125">
        <f t="shared" si="1"/>
        <v>18</v>
      </c>
      <c r="K12" s="25"/>
      <c r="L12" s="135">
        <f t="shared" si="2"/>
        <v>3</v>
      </c>
      <c r="M12" s="25">
        <f t="shared" si="3"/>
        <v>15</v>
      </c>
      <c r="N12" s="25"/>
      <c r="O12" s="135">
        <f t="shared" si="4"/>
        <v>1</v>
      </c>
      <c r="P12" s="127">
        <f t="shared" si="5"/>
        <v>17</v>
      </c>
      <c r="Q12" s="25">
        <f t="shared" si="6"/>
        <v>0</v>
      </c>
      <c r="R12" s="135"/>
      <c r="S12" s="25"/>
      <c r="T12" s="3" t="s">
        <v>185</v>
      </c>
      <c r="U12" s="3" t="s">
        <v>226</v>
      </c>
      <c r="V12" s="64" t="s">
        <v>229</v>
      </c>
      <c r="W12" s="64" t="s">
        <v>229</v>
      </c>
      <c r="X12" s="11">
        <v>1</v>
      </c>
      <c r="Y12" s="11">
        <v>2</v>
      </c>
      <c r="Z12" s="11">
        <v>1</v>
      </c>
      <c r="AA12" s="11">
        <v>2</v>
      </c>
      <c r="AB12" s="11">
        <v>3</v>
      </c>
      <c r="AC12" s="11">
        <v>0</v>
      </c>
      <c r="AD12" s="125">
        <f t="shared" si="7"/>
        <v>9</v>
      </c>
      <c r="AE12" s="25"/>
      <c r="AF12" s="60">
        <f t="shared" si="0"/>
        <v>4</v>
      </c>
      <c r="AG12" s="60">
        <f t="shared" si="8"/>
        <v>5</v>
      </c>
      <c r="AI12" s="135">
        <f t="shared" si="9"/>
        <v>3</v>
      </c>
      <c r="AJ12" s="60">
        <f t="shared" si="10"/>
        <v>3</v>
      </c>
      <c r="AK12" s="168">
        <f t="shared" si="11"/>
        <v>3</v>
      </c>
      <c r="AL12" s="25"/>
    </row>
    <row r="13" spans="1:38" ht="15.75" x14ac:dyDescent="0.25">
      <c r="A13" s="3" t="s">
        <v>185</v>
      </c>
      <c r="B13" s="138" t="s">
        <v>226</v>
      </c>
      <c r="C13" s="150" t="s">
        <v>227</v>
      </c>
      <c r="D13" s="151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52">
        <f t="shared" si="1"/>
        <v>0</v>
      </c>
      <c r="K13" s="25"/>
      <c r="L13" s="135">
        <f t="shared" si="2"/>
        <v>0</v>
      </c>
      <c r="M13" s="25">
        <f t="shared" si="3"/>
        <v>0</v>
      </c>
      <c r="N13" s="25"/>
      <c r="O13" s="135">
        <f t="shared" si="4"/>
        <v>0</v>
      </c>
      <c r="P13" s="127">
        <f t="shared" si="5"/>
        <v>0</v>
      </c>
      <c r="Q13" s="25">
        <f t="shared" si="6"/>
        <v>0</v>
      </c>
      <c r="R13" s="135"/>
      <c r="S13" s="25"/>
      <c r="T13" s="3" t="s">
        <v>185</v>
      </c>
      <c r="U13" s="3" t="s">
        <v>226</v>
      </c>
      <c r="V13" s="64" t="s">
        <v>227</v>
      </c>
      <c r="W13" s="64" t="s">
        <v>227</v>
      </c>
      <c r="X13" s="11">
        <v>0</v>
      </c>
      <c r="Y13" s="11">
        <v>0</v>
      </c>
      <c r="Z13" s="11">
        <v>0</v>
      </c>
      <c r="AA13" s="11">
        <v>0</v>
      </c>
      <c r="AB13" s="11">
        <v>1</v>
      </c>
      <c r="AC13" s="11">
        <v>0</v>
      </c>
      <c r="AD13" s="125">
        <f t="shared" si="7"/>
        <v>1</v>
      </c>
      <c r="AE13" s="25"/>
      <c r="AF13" s="60">
        <f t="shared" si="0"/>
        <v>0</v>
      </c>
      <c r="AG13" s="60">
        <f t="shared" si="8"/>
        <v>1</v>
      </c>
      <c r="AI13" s="135">
        <f t="shared" si="9"/>
        <v>0</v>
      </c>
      <c r="AJ13" s="60">
        <f t="shared" si="10"/>
        <v>0</v>
      </c>
      <c r="AK13" s="168">
        <f t="shared" si="11"/>
        <v>1</v>
      </c>
      <c r="AL13" s="25"/>
    </row>
    <row r="14" spans="1:38" ht="15.75" x14ac:dyDescent="0.25">
      <c r="A14" s="3" t="s">
        <v>185</v>
      </c>
      <c r="B14" s="3" t="s">
        <v>213</v>
      </c>
      <c r="C14" s="64" t="s">
        <v>214</v>
      </c>
      <c r="D14" s="148">
        <v>0</v>
      </c>
      <c r="E14" s="148">
        <v>1</v>
      </c>
      <c r="F14" s="148">
        <v>4</v>
      </c>
      <c r="G14" s="148">
        <v>1</v>
      </c>
      <c r="H14" s="148">
        <v>3</v>
      </c>
      <c r="I14" s="148">
        <v>4</v>
      </c>
      <c r="J14" s="125">
        <f t="shared" si="1"/>
        <v>13</v>
      </c>
      <c r="K14" s="75"/>
      <c r="L14" s="135">
        <f t="shared" si="2"/>
        <v>5</v>
      </c>
      <c r="M14" s="25">
        <f t="shared" si="3"/>
        <v>8</v>
      </c>
      <c r="N14" s="25"/>
      <c r="O14" s="135">
        <f t="shared" si="4"/>
        <v>1</v>
      </c>
      <c r="P14" s="127">
        <f t="shared" si="5"/>
        <v>5</v>
      </c>
      <c r="Q14" s="25">
        <f t="shared" si="6"/>
        <v>7</v>
      </c>
      <c r="R14" s="135"/>
      <c r="S14" s="25"/>
      <c r="T14" s="3" t="s">
        <v>185</v>
      </c>
      <c r="U14" s="3" t="s">
        <v>213</v>
      </c>
      <c r="V14" s="64" t="s">
        <v>214</v>
      </c>
      <c r="W14" s="64" t="s">
        <v>214</v>
      </c>
      <c r="X14" s="148">
        <v>0</v>
      </c>
      <c r="Y14" s="148">
        <v>17</v>
      </c>
      <c r="Z14" s="148">
        <v>0</v>
      </c>
      <c r="AA14" s="148">
        <v>1</v>
      </c>
      <c r="AB14" s="148">
        <v>2</v>
      </c>
      <c r="AC14" s="148">
        <v>3</v>
      </c>
      <c r="AD14" s="125">
        <f t="shared" si="7"/>
        <v>23</v>
      </c>
      <c r="AE14" s="25"/>
      <c r="AF14" s="60">
        <f t="shared" si="0"/>
        <v>17</v>
      </c>
      <c r="AG14" s="60">
        <f t="shared" si="8"/>
        <v>6</v>
      </c>
      <c r="AI14" s="135">
        <f t="shared" si="9"/>
        <v>17</v>
      </c>
      <c r="AJ14" s="60">
        <f t="shared" si="10"/>
        <v>1</v>
      </c>
      <c r="AK14" s="168">
        <f t="shared" si="11"/>
        <v>5</v>
      </c>
      <c r="AL14" s="25"/>
    </row>
    <row r="15" spans="1:38" ht="15.75" x14ac:dyDescent="0.25">
      <c r="A15" s="3" t="s">
        <v>185</v>
      </c>
      <c r="B15" s="138" t="s">
        <v>187</v>
      </c>
      <c r="C15" s="150" t="s">
        <v>188</v>
      </c>
      <c r="D15" s="151">
        <v>0</v>
      </c>
      <c r="E15" s="151">
        <v>0</v>
      </c>
      <c r="F15" s="151">
        <v>0</v>
      </c>
      <c r="G15" s="151">
        <v>0</v>
      </c>
      <c r="H15" s="151">
        <v>0</v>
      </c>
      <c r="I15" s="151">
        <v>0</v>
      </c>
      <c r="J15" s="152">
        <f t="shared" si="1"/>
        <v>0</v>
      </c>
      <c r="K15" s="75"/>
      <c r="L15" s="135">
        <f t="shared" si="2"/>
        <v>0</v>
      </c>
      <c r="M15" s="25">
        <f t="shared" si="3"/>
        <v>0</v>
      </c>
      <c r="N15" s="25"/>
      <c r="O15" s="135">
        <f t="shared" si="4"/>
        <v>0</v>
      </c>
      <c r="P15" s="127">
        <f t="shared" si="5"/>
        <v>0</v>
      </c>
      <c r="Q15" s="25">
        <f t="shared" si="6"/>
        <v>0</v>
      </c>
      <c r="R15" s="135"/>
      <c r="S15" s="25"/>
      <c r="T15" s="3" t="s">
        <v>185</v>
      </c>
      <c r="U15" s="3" t="s">
        <v>187</v>
      </c>
      <c r="V15" s="64" t="s">
        <v>188</v>
      </c>
      <c r="W15" s="64" t="s">
        <v>188</v>
      </c>
      <c r="X15" s="148">
        <v>2</v>
      </c>
      <c r="Y15" s="148">
        <v>0</v>
      </c>
      <c r="Z15" s="148">
        <v>0</v>
      </c>
      <c r="AA15" s="148">
        <v>0</v>
      </c>
      <c r="AB15" s="148">
        <v>0</v>
      </c>
      <c r="AC15" s="148">
        <v>0</v>
      </c>
      <c r="AD15" s="125">
        <f t="shared" si="7"/>
        <v>2</v>
      </c>
      <c r="AE15" s="25"/>
      <c r="AF15" s="60">
        <f t="shared" si="0"/>
        <v>2</v>
      </c>
      <c r="AG15" s="60">
        <f t="shared" si="8"/>
        <v>0</v>
      </c>
      <c r="AI15" s="135">
        <f t="shared" si="9"/>
        <v>2</v>
      </c>
      <c r="AJ15" s="60">
        <f t="shared" si="10"/>
        <v>0</v>
      </c>
      <c r="AK15" s="168">
        <f t="shared" si="11"/>
        <v>0</v>
      </c>
      <c r="AL15" s="25"/>
    </row>
    <row r="16" spans="1:38" ht="15.75" x14ac:dyDescent="0.25">
      <c r="A16" s="3" t="s">
        <v>185</v>
      </c>
      <c r="B16" s="3" t="s">
        <v>240</v>
      </c>
      <c r="C16" s="64" t="s">
        <v>241</v>
      </c>
      <c r="D16" s="148">
        <v>0</v>
      </c>
      <c r="E16" s="148">
        <v>0</v>
      </c>
      <c r="F16" s="148">
        <v>0</v>
      </c>
      <c r="G16" s="148">
        <v>1</v>
      </c>
      <c r="H16" s="148">
        <v>1</v>
      </c>
      <c r="I16" s="148">
        <v>0</v>
      </c>
      <c r="J16" s="125">
        <f t="shared" si="1"/>
        <v>2</v>
      </c>
      <c r="K16" s="75"/>
      <c r="L16" s="135">
        <f t="shared" si="2"/>
        <v>0</v>
      </c>
      <c r="M16" s="25">
        <f t="shared" si="3"/>
        <v>2</v>
      </c>
      <c r="N16" s="25"/>
      <c r="O16" s="135">
        <f t="shared" si="4"/>
        <v>0</v>
      </c>
      <c r="P16" s="127">
        <f t="shared" si="5"/>
        <v>1</v>
      </c>
      <c r="Q16" s="25">
        <f t="shared" si="6"/>
        <v>1</v>
      </c>
      <c r="R16" s="135"/>
      <c r="S16" s="25"/>
      <c r="T16" s="3" t="s">
        <v>185</v>
      </c>
      <c r="U16" s="3" t="s">
        <v>240</v>
      </c>
      <c r="V16" s="64" t="s">
        <v>241</v>
      </c>
      <c r="W16" s="64" t="s">
        <v>241</v>
      </c>
      <c r="X16" s="148">
        <v>1</v>
      </c>
      <c r="Y16" s="148">
        <v>0</v>
      </c>
      <c r="Z16" s="148">
        <v>0</v>
      </c>
      <c r="AA16" s="148">
        <v>0</v>
      </c>
      <c r="AB16" s="148">
        <v>1</v>
      </c>
      <c r="AC16" s="148">
        <v>3</v>
      </c>
      <c r="AD16" s="125">
        <f t="shared" si="7"/>
        <v>5</v>
      </c>
      <c r="AE16" s="25"/>
      <c r="AF16" s="60">
        <f t="shared" si="0"/>
        <v>1</v>
      </c>
      <c r="AG16" s="60">
        <f t="shared" si="8"/>
        <v>4</v>
      </c>
      <c r="AI16" s="135">
        <f t="shared" si="9"/>
        <v>1</v>
      </c>
      <c r="AJ16" s="60">
        <f t="shared" si="10"/>
        <v>0</v>
      </c>
      <c r="AK16" s="168">
        <f t="shared" si="11"/>
        <v>4</v>
      </c>
      <c r="AL16" s="25"/>
    </row>
    <row r="17" spans="1:38" ht="15.75" x14ac:dyDescent="0.25">
      <c r="A17" s="3" t="s">
        <v>185</v>
      </c>
      <c r="B17" s="3" t="s">
        <v>291</v>
      </c>
      <c r="C17" s="64" t="s">
        <v>292</v>
      </c>
      <c r="D17" s="148">
        <v>0</v>
      </c>
      <c r="E17" s="148">
        <v>0</v>
      </c>
      <c r="F17" s="148">
        <v>0</v>
      </c>
      <c r="G17" s="148">
        <v>1</v>
      </c>
      <c r="H17" s="148">
        <v>0</v>
      </c>
      <c r="I17" s="148">
        <v>0</v>
      </c>
      <c r="J17" s="125">
        <f t="shared" si="1"/>
        <v>1</v>
      </c>
      <c r="K17" s="75"/>
      <c r="L17" s="135">
        <f t="shared" si="2"/>
        <v>0</v>
      </c>
      <c r="M17" s="25">
        <f t="shared" si="3"/>
        <v>1</v>
      </c>
      <c r="N17" s="25"/>
      <c r="O17" s="135">
        <f t="shared" si="4"/>
        <v>0</v>
      </c>
      <c r="P17" s="127">
        <f t="shared" si="5"/>
        <v>1</v>
      </c>
      <c r="Q17" s="25">
        <f t="shared" si="6"/>
        <v>0</v>
      </c>
      <c r="R17" s="135"/>
      <c r="S17" s="25"/>
      <c r="T17" s="138" t="s">
        <v>185</v>
      </c>
      <c r="U17" s="138" t="s">
        <v>291</v>
      </c>
      <c r="V17" s="150" t="s">
        <v>292</v>
      </c>
      <c r="W17" s="150" t="s">
        <v>292</v>
      </c>
      <c r="X17" s="151">
        <v>0</v>
      </c>
      <c r="Y17" s="151">
        <v>0</v>
      </c>
      <c r="Z17" s="151">
        <v>0</v>
      </c>
      <c r="AA17" s="151">
        <v>0</v>
      </c>
      <c r="AB17" s="151">
        <v>0</v>
      </c>
      <c r="AC17" s="151">
        <v>0</v>
      </c>
      <c r="AD17" s="152">
        <f t="shared" si="7"/>
        <v>0</v>
      </c>
      <c r="AE17" s="25"/>
      <c r="AF17" s="60">
        <f t="shared" si="0"/>
        <v>0</v>
      </c>
      <c r="AG17" s="60">
        <f t="shared" si="8"/>
        <v>0</v>
      </c>
      <c r="AI17" s="135">
        <f t="shared" si="9"/>
        <v>0</v>
      </c>
      <c r="AJ17" s="60">
        <f t="shared" si="10"/>
        <v>0</v>
      </c>
      <c r="AK17" s="168">
        <f t="shared" si="11"/>
        <v>0</v>
      </c>
      <c r="AL17" s="25"/>
    </row>
    <row r="18" spans="1:38" ht="15.75" x14ac:dyDescent="0.25">
      <c r="A18" s="3" t="s">
        <v>185</v>
      </c>
      <c r="B18" s="3" t="s">
        <v>299</v>
      </c>
      <c r="C18" s="64" t="s">
        <v>300</v>
      </c>
      <c r="D18" s="148">
        <v>0</v>
      </c>
      <c r="E18" s="148">
        <v>0</v>
      </c>
      <c r="F18" s="148">
        <v>0</v>
      </c>
      <c r="G18" s="148">
        <v>1</v>
      </c>
      <c r="H18" s="148">
        <v>0</v>
      </c>
      <c r="I18" s="148">
        <v>0</v>
      </c>
      <c r="J18" s="125">
        <f t="shared" si="1"/>
        <v>1</v>
      </c>
      <c r="K18" s="75"/>
      <c r="L18" s="135">
        <f t="shared" si="2"/>
        <v>0</v>
      </c>
      <c r="M18" s="25">
        <f t="shared" si="3"/>
        <v>1</v>
      </c>
      <c r="N18" s="25"/>
      <c r="O18" s="135">
        <f t="shared" si="4"/>
        <v>0</v>
      </c>
      <c r="P18" s="127">
        <f t="shared" si="5"/>
        <v>1</v>
      </c>
      <c r="Q18" s="25">
        <f t="shared" si="6"/>
        <v>0</v>
      </c>
      <c r="R18" s="135"/>
      <c r="S18" s="25"/>
      <c r="T18" s="138" t="s">
        <v>185</v>
      </c>
      <c r="U18" s="138" t="s">
        <v>299</v>
      </c>
      <c r="V18" s="150" t="s">
        <v>300</v>
      </c>
      <c r="W18" s="150" t="s">
        <v>300</v>
      </c>
      <c r="X18" s="151">
        <v>0</v>
      </c>
      <c r="Y18" s="151">
        <v>0</v>
      </c>
      <c r="Z18" s="151">
        <v>0</v>
      </c>
      <c r="AA18" s="151">
        <v>0</v>
      </c>
      <c r="AB18" s="151">
        <v>0</v>
      </c>
      <c r="AC18" s="151">
        <v>0</v>
      </c>
      <c r="AD18" s="152">
        <f t="shared" si="7"/>
        <v>0</v>
      </c>
      <c r="AE18" s="25"/>
      <c r="AF18" s="60">
        <f t="shared" si="0"/>
        <v>0</v>
      </c>
      <c r="AG18" s="60">
        <f t="shared" si="8"/>
        <v>0</v>
      </c>
      <c r="AI18" s="135">
        <f t="shared" si="9"/>
        <v>0</v>
      </c>
      <c r="AJ18" s="60">
        <f t="shared" si="10"/>
        <v>0</v>
      </c>
      <c r="AK18" s="168">
        <f t="shared" si="11"/>
        <v>0</v>
      </c>
      <c r="AL18" s="25"/>
    </row>
    <row r="19" spans="1:38" ht="15.75" x14ac:dyDescent="0.25">
      <c r="A19" s="3" t="s">
        <v>18</v>
      </c>
      <c r="B19" s="2" t="s">
        <v>249</v>
      </c>
      <c r="C19" s="64" t="s">
        <v>250</v>
      </c>
      <c r="D19" s="148">
        <v>1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25">
        <f t="shared" si="1"/>
        <v>1</v>
      </c>
      <c r="K19" s="25"/>
      <c r="L19" s="135">
        <f t="shared" si="2"/>
        <v>1</v>
      </c>
      <c r="M19" s="25">
        <f t="shared" si="3"/>
        <v>0</v>
      </c>
      <c r="N19" s="25"/>
      <c r="O19" s="135">
        <f t="shared" si="4"/>
        <v>1</v>
      </c>
      <c r="P19" s="127">
        <f t="shared" si="5"/>
        <v>0</v>
      </c>
      <c r="Q19" s="25">
        <f t="shared" si="6"/>
        <v>0</v>
      </c>
      <c r="R19" s="135"/>
      <c r="S19" s="25"/>
      <c r="T19" s="138" t="s">
        <v>18</v>
      </c>
      <c r="U19" s="146" t="s">
        <v>249</v>
      </c>
      <c r="V19" s="150" t="s">
        <v>250</v>
      </c>
      <c r="W19" s="150" t="s">
        <v>250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52">
        <f t="shared" si="7"/>
        <v>0</v>
      </c>
      <c r="AE19" s="25"/>
      <c r="AF19" s="60">
        <f t="shared" si="0"/>
        <v>0</v>
      </c>
      <c r="AG19" s="60">
        <f t="shared" si="8"/>
        <v>0</v>
      </c>
      <c r="AI19" s="135">
        <f t="shared" si="9"/>
        <v>0</v>
      </c>
      <c r="AJ19" s="60">
        <f t="shared" si="10"/>
        <v>0</v>
      </c>
      <c r="AK19" s="168">
        <f t="shared" si="11"/>
        <v>0</v>
      </c>
      <c r="AL19" s="25"/>
    </row>
    <row r="20" spans="1:38" ht="15.75" x14ac:dyDescent="0.25">
      <c r="A20" s="3" t="s">
        <v>18</v>
      </c>
      <c r="B20" s="138" t="s">
        <v>34</v>
      </c>
      <c r="C20" s="150" t="s">
        <v>35</v>
      </c>
      <c r="D20" s="151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25">
        <f t="shared" si="1"/>
        <v>0</v>
      </c>
      <c r="K20" s="25"/>
      <c r="L20" s="135">
        <f t="shared" si="2"/>
        <v>0</v>
      </c>
      <c r="M20" s="25">
        <f t="shared" si="3"/>
        <v>0</v>
      </c>
      <c r="N20" s="25"/>
      <c r="O20" s="135">
        <f t="shared" si="4"/>
        <v>0</v>
      </c>
      <c r="P20" s="127">
        <f t="shared" si="5"/>
        <v>0</v>
      </c>
      <c r="Q20" s="25">
        <f t="shared" si="6"/>
        <v>0</v>
      </c>
      <c r="R20" s="135"/>
      <c r="S20" s="25"/>
      <c r="T20" s="3" t="s">
        <v>18</v>
      </c>
      <c r="U20" s="3" t="s">
        <v>34</v>
      </c>
      <c r="V20" s="64" t="s">
        <v>35</v>
      </c>
      <c r="W20" s="64" t="s">
        <v>35</v>
      </c>
      <c r="X20" s="11">
        <v>0</v>
      </c>
      <c r="Y20" s="11">
        <v>2</v>
      </c>
      <c r="Z20" s="11">
        <v>0</v>
      </c>
      <c r="AA20" s="11">
        <v>0</v>
      </c>
      <c r="AB20" s="11">
        <v>0</v>
      </c>
      <c r="AC20" s="11">
        <v>0</v>
      </c>
      <c r="AD20" s="125">
        <f t="shared" si="7"/>
        <v>2</v>
      </c>
      <c r="AE20" s="25"/>
      <c r="AF20" s="60">
        <f t="shared" si="0"/>
        <v>2</v>
      </c>
      <c r="AG20" s="60">
        <f t="shared" si="8"/>
        <v>0</v>
      </c>
      <c r="AI20" s="135">
        <f t="shared" si="9"/>
        <v>2</v>
      </c>
      <c r="AJ20" s="60">
        <f t="shared" si="10"/>
        <v>0</v>
      </c>
      <c r="AK20" s="168">
        <f t="shared" si="11"/>
        <v>0</v>
      </c>
      <c r="AL20" s="25"/>
    </row>
    <row r="21" spans="1:38" ht="15.75" x14ac:dyDescent="0.25">
      <c r="A21" s="3" t="s">
        <v>18</v>
      </c>
      <c r="B21" s="138" t="s">
        <v>34</v>
      </c>
      <c r="C21" s="150" t="s">
        <v>37</v>
      </c>
      <c r="D21" s="151">
        <v>0</v>
      </c>
      <c r="E21" s="151">
        <v>0</v>
      </c>
      <c r="F21" s="151">
        <v>0</v>
      </c>
      <c r="G21" s="151">
        <v>0</v>
      </c>
      <c r="H21" s="151">
        <v>0</v>
      </c>
      <c r="I21" s="151">
        <v>0</v>
      </c>
      <c r="J21" s="125">
        <f t="shared" si="1"/>
        <v>0</v>
      </c>
      <c r="K21" s="75"/>
      <c r="L21" s="135">
        <f t="shared" si="2"/>
        <v>0</v>
      </c>
      <c r="M21" s="25">
        <f t="shared" si="3"/>
        <v>0</v>
      </c>
      <c r="N21" s="25"/>
      <c r="O21" s="135">
        <f t="shared" si="4"/>
        <v>0</v>
      </c>
      <c r="P21" s="127">
        <f t="shared" si="5"/>
        <v>0</v>
      </c>
      <c r="Q21" s="25">
        <f t="shared" si="6"/>
        <v>0</v>
      </c>
      <c r="R21" s="135"/>
      <c r="S21" s="25"/>
      <c r="T21" s="3" t="s">
        <v>18</v>
      </c>
      <c r="U21" s="3" t="s">
        <v>34</v>
      </c>
      <c r="V21" s="64" t="s">
        <v>37</v>
      </c>
      <c r="W21" s="64" t="s">
        <v>37</v>
      </c>
      <c r="X21" s="148">
        <v>0</v>
      </c>
      <c r="Y21" s="148">
        <v>0</v>
      </c>
      <c r="Z21" s="148">
        <v>0</v>
      </c>
      <c r="AA21" s="148">
        <v>0</v>
      </c>
      <c r="AB21" s="148">
        <v>0</v>
      </c>
      <c r="AC21" s="148">
        <v>1</v>
      </c>
      <c r="AD21" s="125">
        <f t="shared" si="7"/>
        <v>1</v>
      </c>
      <c r="AE21" s="25"/>
      <c r="AF21" s="60">
        <f t="shared" si="0"/>
        <v>0</v>
      </c>
      <c r="AG21" s="60">
        <f t="shared" si="8"/>
        <v>1</v>
      </c>
      <c r="AI21" s="135">
        <f t="shared" si="9"/>
        <v>0</v>
      </c>
      <c r="AJ21" s="60">
        <f t="shared" si="10"/>
        <v>0</v>
      </c>
      <c r="AK21" s="168">
        <f t="shared" si="11"/>
        <v>1</v>
      </c>
      <c r="AL21" s="25"/>
    </row>
    <row r="22" spans="1:38" ht="15.75" x14ac:dyDescent="0.25">
      <c r="A22" s="3" t="s">
        <v>18</v>
      </c>
      <c r="B22" s="2" t="s">
        <v>127</v>
      </c>
      <c r="C22" s="64" t="s">
        <v>130</v>
      </c>
      <c r="D22" s="148">
        <v>0</v>
      </c>
      <c r="E22" s="148">
        <v>0</v>
      </c>
      <c r="F22" s="148">
        <v>0</v>
      </c>
      <c r="G22" s="148">
        <v>0</v>
      </c>
      <c r="H22" s="148">
        <v>0</v>
      </c>
      <c r="I22" s="148">
        <v>2</v>
      </c>
      <c r="J22" s="125">
        <f t="shared" si="1"/>
        <v>2</v>
      </c>
      <c r="K22" s="75"/>
      <c r="L22" s="135">
        <f t="shared" si="2"/>
        <v>0</v>
      </c>
      <c r="M22" s="25">
        <f t="shared" si="3"/>
        <v>2</v>
      </c>
      <c r="N22" s="25"/>
      <c r="O22" s="135">
        <f t="shared" si="4"/>
        <v>0</v>
      </c>
      <c r="P22" s="127">
        <f t="shared" si="5"/>
        <v>0</v>
      </c>
      <c r="Q22" s="25">
        <f t="shared" si="6"/>
        <v>2</v>
      </c>
      <c r="R22" s="135"/>
      <c r="S22" s="25"/>
      <c r="T22" s="138" t="s">
        <v>18</v>
      </c>
      <c r="U22" s="146" t="s">
        <v>127</v>
      </c>
      <c r="V22" s="150" t="s">
        <v>130</v>
      </c>
      <c r="W22" s="150" t="s">
        <v>130</v>
      </c>
      <c r="X22" s="151">
        <v>0</v>
      </c>
      <c r="Y22" s="151">
        <v>0</v>
      </c>
      <c r="Z22" s="151">
        <v>0</v>
      </c>
      <c r="AA22" s="151">
        <v>0</v>
      </c>
      <c r="AB22" s="151">
        <v>0</v>
      </c>
      <c r="AC22" s="151">
        <v>0</v>
      </c>
      <c r="AD22" s="152">
        <f t="shared" si="7"/>
        <v>0</v>
      </c>
      <c r="AE22" s="25"/>
      <c r="AF22" s="60">
        <f t="shared" si="0"/>
        <v>0</v>
      </c>
      <c r="AG22" s="60">
        <f t="shared" si="8"/>
        <v>0</v>
      </c>
      <c r="AI22" s="135">
        <f t="shared" si="9"/>
        <v>0</v>
      </c>
      <c r="AJ22" s="60">
        <f t="shared" si="10"/>
        <v>0</v>
      </c>
      <c r="AK22" s="168">
        <f t="shared" si="11"/>
        <v>0</v>
      </c>
      <c r="AL22" s="25"/>
    </row>
    <row r="23" spans="1:38" ht="15.75" x14ac:dyDescent="0.25">
      <c r="A23" s="3" t="s">
        <v>18</v>
      </c>
      <c r="B23" s="2" t="s">
        <v>127</v>
      </c>
      <c r="C23" s="7" t="s">
        <v>356</v>
      </c>
      <c r="D23" s="148">
        <v>0</v>
      </c>
      <c r="E23" s="148">
        <v>0</v>
      </c>
      <c r="F23" s="148">
        <v>0</v>
      </c>
      <c r="G23" s="148">
        <v>3</v>
      </c>
      <c r="H23" s="148">
        <v>0</v>
      </c>
      <c r="I23" s="148">
        <v>0</v>
      </c>
      <c r="J23" s="125">
        <f t="shared" si="1"/>
        <v>3</v>
      </c>
      <c r="K23" s="75"/>
      <c r="L23" s="135">
        <f t="shared" si="2"/>
        <v>0</v>
      </c>
      <c r="M23" s="25">
        <f t="shared" si="3"/>
        <v>3</v>
      </c>
      <c r="N23" s="25"/>
      <c r="O23" s="135">
        <f t="shared" si="4"/>
        <v>0</v>
      </c>
      <c r="P23" s="127">
        <f t="shared" si="5"/>
        <v>3</v>
      </c>
      <c r="Q23" s="25">
        <f t="shared" si="6"/>
        <v>0</v>
      </c>
      <c r="R23" s="135"/>
      <c r="S23" s="25"/>
      <c r="T23" s="138" t="s">
        <v>18</v>
      </c>
      <c r="U23" s="146" t="s">
        <v>127</v>
      </c>
      <c r="V23" s="158" t="s">
        <v>356</v>
      </c>
      <c r="W23" s="158" t="s">
        <v>356</v>
      </c>
      <c r="X23" s="151">
        <v>0</v>
      </c>
      <c r="Y23" s="151">
        <v>0</v>
      </c>
      <c r="Z23" s="151">
        <v>0</v>
      </c>
      <c r="AA23" s="151">
        <v>0</v>
      </c>
      <c r="AB23" s="151">
        <v>0</v>
      </c>
      <c r="AC23" s="151">
        <v>0</v>
      </c>
      <c r="AD23" s="152">
        <f t="shared" si="7"/>
        <v>0</v>
      </c>
      <c r="AE23" s="25"/>
      <c r="AF23" s="60">
        <f t="shared" si="0"/>
        <v>0</v>
      </c>
      <c r="AG23" s="60">
        <f t="shared" si="8"/>
        <v>0</v>
      </c>
      <c r="AI23" s="135">
        <f t="shared" si="9"/>
        <v>0</v>
      </c>
      <c r="AJ23" s="60">
        <f t="shared" si="10"/>
        <v>0</v>
      </c>
      <c r="AK23" s="168">
        <f t="shared" si="11"/>
        <v>0</v>
      </c>
      <c r="AL23" s="25"/>
    </row>
    <row r="24" spans="1:38" ht="15.75" x14ac:dyDescent="0.25">
      <c r="A24" s="3" t="s">
        <v>18</v>
      </c>
      <c r="B24" s="2" t="s">
        <v>127</v>
      </c>
      <c r="C24" s="64" t="s">
        <v>313</v>
      </c>
      <c r="D24" s="148">
        <v>0</v>
      </c>
      <c r="E24" s="148">
        <v>0</v>
      </c>
      <c r="F24" s="148">
        <v>0</v>
      </c>
      <c r="G24" s="148">
        <v>0</v>
      </c>
      <c r="H24" s="148">
        <v>0</v>
      </c>
      <c r="I24" s="148">
        <v>3</v>
      </c>
      <c r="J24" s="125">
        <f t="shared" si="1"/>
        <v>3</v>
      </c>
      <c r="K24" s="75"/>
      <c r="L24" s="135">
        <f t="shared" si="2"/>
        <v>0</v>
      </c>
      <c r="M24" s="25">
        <f t="shared" si="3"/>
        <v>3</v>
      </c>
      <c r="N24" s="25"/>
      <c r="O24" s="135">
        <f t="shared" si="4"/>
        <v>0</v>
      </c>
      <c r="P24" s="127">
        <f t="shared" si="5"/>
        <v>0</v>
      </c>
      <c r="Q24" s="25">
        <f t="shared" si="6"/>
        <v>3</v>
      </c>
      <c r="R24" s="135"/>
      <c r="S24" s="25"/>
      <c r="T24" s="138" t="s">
        <v>18</v>
      </c>
      <c r="U24" s="146" t="s">
        <v>127</v>
      </c>
      <c r="V24" s="150" t="s">
        <v>313</v>
      </c>
      <c r="W24" s="150" t="s">
        <v>313</v>
      </c>
      <c r="X24" s="151">
        <v>0</v>
      </c>
      <c r="Y24" s="151">
        <v>0</v>
      </c>
      <c r="Z24" s="151">
        <v>0</v>
      </c>
      <c r="AA24" s="151">
        <v>0</v>
      </c>
      <c r="AB24" s="151">
        <v>0</v>
      </c>
      <c r="AC24" s="151">
        <v>0</v>
      </c>
      <c r="AD24" s="152">
        <f t="shared" si="7"/>
        <v>0</v>
      </c>
      <c r="AE24" s="25"/>
      <c r="AF24" s="60">
        <f t="shared" si="0"/>
        <v>0</v>
      </c>
      <c r="AG24" s="60">
        <f t="shared" si="8"/>
        <v>0</v>
      </c>
      <c r="AI24" s="135">
        <f t="shared" si="9"/>
        <v>0</v>
      </c>
      <c r="AJ24" s="60">
        <f t="shared" si="10"/>
        <v>0</v>
      </c>
      <c r="AK24" s="168">
        <f t="shared" si="11"/>
        <v>0</v>
      </c>
      <c r="AL24" s="25"/>
    </row>
    <row r="25" spans="1:38" ht="15.75" x14ac:dyDescent="0.25">
      <c r="A25" s="3" t="s">
        <v>18</v>
      </c>
      <c r="B25" s="2" t="s">
        <v>127</v>
      </c>
      <c r="C25" s="3" t="s">
        <v>355</v>
      </c>
      <c r="D25" s="160">
        <v>0</v>
      </c>
      <c r="E25" s="148">
        <v>0</v>
      </c>
      <c r="F25" s="148">
        <v>0</v>
      </c>
      <c r="G25" s="148">
        <v>0</v>
      </c>
      <c r="H25" s="148">
        <v>0</v>
      </c>
      <c r="I25" s="148">
        <v>2</v>
      </c>
      <c r="J25" s="125">
        <f t="shared" si="1"/>
        <v>2</v>
      </c>
      <c r="K25" s="75"/>
      <c r="L25" s="135">
        <f t="shared" si="2"/>
        <v>0</v>
      </c>
      <c r="M25" s="25">
        <f t="shared" si="3"/>
        <v>2</v>
      </c>
      <c r="N25" s="25"/>
      <c r="O25" s="135">
        <f t="shared" si="4"/>
        <v>0</v>
      </c>
      <c r="P25" s="127">
        <f t="shared" si="5"/>
        <v>0</v>
      </c>
      <c r="Q25" s="25">
        <f t="shared" si="6"/>
        <v>2</v>
      </c>
      <c r="R25" s="135"/>
      <c r="S25" s="25"/>
      <c r="T25" s="138" t="s">
        <v>18</v>
      </c>
      <c r="U25" s="146" t="s">
        <v>127</v>
      </c>
      <c r="V25" s="138" t="s">
        <v>355</v>
      </c>
      <c r="W25" s="138" t="s">
        <v>355</v>
      </c>
      <c r="X25" s="151">
        <v>0</v>
      </c>
      <c r="Y25" s="151">
        <v>0</v>
      </c>
      <c r="Z25" s="151">
        <v>0</v>
      </c>
      <c r="AA25" s="151">
        <v>0</v>
      </c>
      <c r="AB25" s="151">
        <v>0</v>
      </c>
      <c r="AC25" s="151">
        <v>0</v>
      </c>
      <c r="AD25" s="152">
        <f t="shared" si="7"/>
        <v>0</v>
      </c>
      <c r="AE25" s="25"/>
      <c r="AF25" s="60">
        <f t="shared" si="0"/>
        <v>0</v>
      </c>
      <c r="AG25" s="60">
        <f t="shared" si="8"/>
        <v>0</v>
      </c>
      <c r="AI25" s="135">
        <f t="shared" si="9"/>
        <v>0</v>
      </c>
      <c r="AJ25" s="60">
        <f t="shared" si="10"/>
        <v>0</v>
      </c>
      <c r="AK25" s="168">
        <f t="shared" si="11"/>
        <v>0</v>
      </c>
      <c r="AL25" s="25"/>
    </row>
    <row r="26" spans="1:38" ht="15.75" x14ac:dyDescent="0.25">
      <c r="A26" s="3" t="s">
        <v>18</v>
      </c>
      <c r="B26" s="3" t="s">
        <v>56</v>
      </c>
      <c r="C26" s="66" t="s">
        <v>57</v>
      </c>
      <c r="D26" s="148">
        <v>0</v>
      </c>
      <c r="E26" s="148">
        <v>0</v>
      </c>
      <c r="F26" s="148">
        <v>0</v>
      </c>
      <c r="G26" s="148">
        <v>0</v>
      </c>
      <c r="H26" s="148">
        <v>0</v>
      </c>
      <c r="I26" s="148">
        <v>1</v>
      </c>
      <c r="J26" s="125">
        <f t="shared" si="1"/>
        <v>1</v>
      </c>
      <c r="K26" s="75"/>
      <c r="L26" s="135">
        <f t="shared" si="2"/>
        <v>0</v>
      </c>
      <c r="M26" s="25">
        <f t="shared" si="3"/>
        <v>1</v>
      </c>
      <c r="N26" s="25"/>
      <c r="O26" s="135">
        <f t="shared" si="4"/>
        <v>0</v>
      </c>
      <c r="P26" s="127">
        <f t="shared" si="5"/>
        <v>0</v>
      </c>
      <c r="Q26" s="25">
        <f t="shared" si="6"/>
        <v>1</v>
      </c>
      <c r="R26" s="135"/>
      <c r="S26" s="25"/>
      <c r="T26" s="3" t="s">
        <v>18</v>
      </c>
      <c r="U26" s="3" t="s">
        <v>56</v>
      </c>
      <c r="V26" s="66" t="s">
        <v>57</v>
      </c>
      <c r="W26" s="66" t="s">
        <v>57</v>
      </c>
      <c r="X26" s="148">
        <v>0</v>
      </c>
      <c r="Y26" s="148">
        <v>0</v>
      </c>
      <c r="Z26" s="148">
        <v>1</v>
      </c>
      <c r="AA26" s="148">
        <v>1</v>
      </c>
      <c r="AB26" s="148">
        <v>0</v>
      </c>
      <c r="AC26" s="148">
        <v>0</v>
      </c>
      <c r="AD26" s="125">
        <f t="shared" si="7"/>
        <v>2</v>
      </c>
      <c r="AE26" s="25"/>
      <c r="AF26" s="60">
        <f t="shared" si="0"/>
        <v>1</v>
      </c>
      <c r="AG26" s="60">
        <f t="shared" si="8"/>
        <v>1</v>
      </c>
      <c r="AI26" s="135">
        <f t="shared" si="9"/>
        <v>0</v>
      </c>
      <c r="AJ26" s="60">
        <f t="shared" si="10"/>
        <v>2</v>
      </c>
      <c r="AK26" s="168">
        <f t="shared" si="11"/>
        <v>0</v>
      </c>
      <c r="AL26" s="25"/>
    </row>
    <row r="27" spans="1:38" ht="15.75" x14ac:dyDescent="0.25">
      <c r="A27" s="3" t="s">
        <v>18</v>
      </c>
      <c r="B27" s="2" t="s">
        <v>61</v>
      </c>
      <c r="C27" s="64" t="s">
        <v>62</v>
      </c>
      <c r="D27" s="148">
        <v>0</v>
      </c>
      <c r="E27" s="11">
        <v>1</v>
      </c>
      <c r="F27" s="11">
        <v>0</v>
      </c>
      <c r="G27" s="11">
        <v>0</v>
      </c>
      <c r="H27" s="11">
        <v>0</v>
      </c>
      <c r="I27" s="11">
        <v>0</v>
      </c>
      <c r="J27" s="125">
        <f t="shared" si="1"/>
        <v>1</v>
      </c>
      <c r="K27" s="25"/>
      <c r="L27" s="135">
        <f t="shared" si="2"/>
        <v>1</v>
      </c>
      <c r="M27" s="25">
        <f t="shared" si="3"/>
        <v>0</v>
      </c>
      <c r="N27" s="25"/>
      <c r="O27" s="135">
        <f t="shared" si="4"/>
        <v>1</v>
      </c>
      <c r="P27" s="127">
        <f t="shared" si="5"/>
        <v>0</v>
      </c>
      <c r="Q27" s="25">
        <f t="shared" si="6"/>
        <v>0</v>
      </c>
      <c r="R27" s="135"/>
      <c r="S27" s="25"/>
      <c r="T27" s="138" t="s">
        <v>18</v>
      </c>
      <c r="U27" s="146" t="s">
        <v>61</v>
      </c>
      <c r="V27" s="150" t="s">
        <v>62</v>
      </c>
      <c r="W27" s="150" t="s">
        <v>62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52">
        <f t="shared" si="7"/>
        <v>0</v>
      </c>
      <c r="AE27" s="25"/>
      <c r="AF27" s="60">
        <f t="shared" si="0"/>
        <v>0</v>
      </c>
      <c r="AG27" s="60">
        <f t="shared" si="8"/>
        <v>0</v>
      </c>
      <c r="AI27" s="135">
        <f t="shared" si="9"/>
        <v>0</v>
      </c>
      <c r="AJ27" s="60">
        <f t="shared" si="10"/>
        <v>0</v>
      </c>
      <c r="AK27" s="168">
        <f t="shared" si="11"/>
        <v>0</v>
      </c>
      <c r="AL27" s="25"/>
    </row>
    <row r="28" spans="1:38" ht="15.75" x14ac:dyDescent="0.25">
      <c r="A28" s="3" t="s">
        <v>18</v>
      </c>
      <c r="B28" s="2" t="s">
        <v>61</v>
      </c>
      <c r="C28" s="64" t="s">
        <v>312</v>
      </c>
      <c r="D28" s="148">
        <v>0</v>
      </c>
      <c r="E28" s="148">
        <v>0</v>
      </c>
      <c r="F28" s="148">
        <v>1</v>
      </c>
      <c r="G28" s="148">
        <v>1</v>
      </c>
      <c r="H28" s="148">
        <v>0</v>
      </c>
      <c r="I28" s="148">
        <v>0</v>
      </c>
      <c r="J28" s="125">
        <f t="shared" si="1"/>
        <v>2</v>
      </c>
      <c r="K28" s="75"/>
      <c r="L28" s="135">
        <f t="shared" si="2"/>
        <v>1</v>
      </c>
      <c r="M28" s="25">
        <f t="shared" si="3"/>
        <v>1</v>
      </c>
      <c r="N28" s="25"/>
      <c r="O28" s="135">
        <f t="shared" si="4"/>
        <v>0</v>
      </c>
      <c r="P28" s="127">
        <f t="shared" si="5"/>
        <v>2</v>
      </c>
      <c r="Q28" s="25">
        <f t="shared" si="6"/>
        <v>0</v>
      </c>
      <c r="R28" s="135"/>
      <c r="S28" s="25"/>
      <c r="T28" s="138" t="s">
        <v>18</v>
      </c>
      <c r="U28" s="146" t="s">
        <v>61</v>
      </c>
      <c r="V28" s="150" t="s">
        <v>312</v>
      </c>
      <c r="W28" s="150" t="s">
        <v>312</v>
      </c>
      <c r="X28" s="151">
        <v>0</v>
      </c>
      <c r="Y28" s="151">
        <v>0</v>
      </c>
      <c r="Z28" s="151">
        <v>0</v>
      </c>
      <c r="AA28" s="151">
        <v>0</v>
      </c>
      <c r="AB28" s="151">
        <v>0</v>
      </c>
      <c r="AC28" s="151">
        <v>0</v>
      </c>
      <c r="AD28" s="152">
        <f t="shared" si="7"/>
        <v>0</v>
      </c>
      <c r="AE28" s="25"/>
      <c r="AF28" s="60">
        <f t="shared" si="0"/>
        <v>0</v>
      </c>
      <c r="AG28" s="60">
        <f t="shared" si="8"/>
        <v>0</v>
      </c>
      <c r="AI28" s="135">
        <f t="shared" si="9"/>
        <v>0</v>
      </c>
      <c r="AJ28" s="60">
        <f t="shared" si="10"/>
        <v>0</v>
      </c>
      <c r="AK28" s="168">
        <f t="shared" si="11"/>
        <v>0</v>
      </c>
      <c r="AL28" s="25"/>
    </row>
    <row r="29" spans="1:38" ht="15.75" x14ac:dyDescent="0.25">
      <c r="A29" s="3" t="s">
        <v>18</v>
      </c>
      <c r="B29" s="2" t="s">
        <v>61</v>
      </c>
      <c r="C29" s="66" t="s">
        <v>64</v>
      </c>
      <c r="D29" s="148">
        <v>0</v>
      </c>
      <c r="E29" s="148">
        <v>0</v>
      </c>
      <c r="F29" s="148">
        <v>0</v>
      </c>
      <c r="G29" s="148">
        <v>0</v>
      </c>
      <c r="H29" s="148">
        <v>0</v>
      </c>
      <c r="I29" s="148">
        <v>1</v>
      </c>
      <c r="J29" s="125">
        <f t="shared" si="1"/>
        <v>1</v>
      </c>
      <c r="K29" s="75"/>
      <c r="L29" s="135">
        <f t="shared" si="2"/>
        <v>0</v>
      </c>
      <c r="M29" s="25">
        <f t="shared" si="3"/>
        <v>1</v>
      </c>
      <c r="N29" s="25"/>
      <c r="O29" s="135">
        <f t="shared" si="4"/>
        <v>0</v>
      </c>
      <c r="P29" s="127">
        <f t="shared" si="5"/>
        <v>0</v>
      </c>
      <c r="Q29" s="25">
        <f t="shared" si="6"/>
        <v>1</v>
      </c>
      <c r="R29" s="135"/>
      <c r="S29" s="25"/>
      <c r="T29" s="138" t="s">
        <v>18</v>
      </c>
      <c r="U29" s="146" t="s">
        <v>61</v>
      </c>
      <c r="V29" s="159" t="s">
        <v>64</v>
      </c>
      <c r="W29" s="159" t="s">
        <v>64</v>
      </c>
      <c r="X29" s="151">
        <v>0</v>
      </c>
      <c r="Y29" s="151">
        <v>0</v>
      </c>
      <c r="Z29" s="151">
        <v>0</v>
      </c>
      <c r="AA29" s="151">
        <v>0</v>
      </c>
      <c r="AB29" s="151">
        <v>0</v>
      </c>
      <c r="AC29" s="151">
        <v>0</v>
      </c>
      <c r="AD29" s="152">
        <f t="shared" si="7"/>
        <v>0</v>
      </c>
      <c r="AE29" s="25"/>
      <c r="AF29" s="60">
        <f t="shared" si="0"/>
        <v>0</v>
      </c>
      <c r="AG29" s="60">
        <f t="shared" si="8"/>
        <v>0</v>
      </c>
      <c r="AI29" s="135">
        <f t="shared" si="9"/>
        <v>0</v>
      </c>
      <c r="AJ29" s="60">
        <f t="shared" si="10"/>
        <v>0</v>
      </c>
      <c r="AK29" s="168">
        <f t="shared" si="11"/>
        <v>0</v>
      </c>
      <c r="AL29" s="25"/>
    </row>
    <row r="30" spans="1:38" ht="15.75" x14ac:dyDescent="0.25">
      <c r="A30" s="3" t="s">
        <v>18</v>
      </c>
      <c r="B30" s="2" t="s">
        <v>61</v>
      </c>
      <c r="C30" s="64" t="s">
        <v>66</v>
      </c>
      <c r="D30" s="148">
        <v>1</v>
      </c>
      <c r="E30" s="148">
        <v>1</v>
      </c>
      <c r="F30" s="148">
        <v>0</v>
      </c>
      <c r="G30" s="148">
        <v>7</v>
      </c>
      <c r="H30" s="148">
        <v>1</v>
      </c>
      <c r="I30" s="148">
        <v>1</v>
      </c>
      <c r="J30" s="125">
        <f t="shared" si="1"/>
        <v>11</v>
      </c>
      <c r="K30" s="75"/>
      <c r="L30" s="135">
        <f t="shared" si="2"/>
        <v>2</v>
      </c>
      <c r="M30" s="25">
        <f t="shared" si="3"/>
        <v>9</v>
      </c>
      <c r="N30" s="25"/>
      <c r="O30" s="135">
        <f t="shared" si="4"/>
        <v>2</v>
      </c>
      <c r="P30" s="127">
        <f t="shared" si="5"/>
        <v>7</v>
      </c>
      <c r="Q30" s="25">
        <f t="shared" si="6"/>
        <v>2</v>
      </c>
      <c r="R30" s="135"/>
      <c r="S30" s="25"/>
      <c r="T30" s="3" t="s">
        <v>18</v>
      </c>
      <c r="U30" s="2" t="s">
        <v>61</v>
      </c>
      <c r="V30" s="64" t="s">
        <v>66</v>
      </c>
      <c r="W30" s="64" t="s">
        <v>66</v>
      </c>
      <c r="X30" s="148">
        <v>0</v>
      </c>
      <c r="Y30" s="148">
        <v>1</v>
      </c>
      <c r="Z30" s="148">
        <v>0</v>
      </c>
      <c r="AA30" s="148">
        <v>0</v>
      </c>
      <c r="AB30" s="148">
        <v>1</v>
      </c>
      <c r="AC30" s="148">
        <v>1</v>
      </c>
      <c r="AD30" s="125">
        <f t="shared" si="7"/>
        <v>3</v>
      </c>
      <c r="AE30" s="25"/>
      <c r="AF30" s="60">
        <f t="shared" si="0"/>
        <v>1</v>
      </c>
      <c r="AG30" s="60">
        <f t="shared" si="8"/>
        <v>2</v>
      </c>
      <c r="AI30" s="135">
        <f t="shared" si="9"/>
        <v>1</v>
      </c>
      <c r="AJ30" s="60">
        <f t="shared" si="10"/>
        <v>0</v>
      </c>
      <c r="AK30" s="168">
        <f t="shared" si="11"/>
        <v>2</v>
      </c>
      <c r="AL30" s="25"/>
    </row>
    <row r="31" spans="1:38" ht="15.75" x14ac:dyDescent="0.25">
      <c r="A31" s="3" t="s">
        <v>18</v>
      </c>
      <c r="B31" s="146" t="s">
        <v>61</v>
      </c>
      <c r="C31" s="150" t="s">
        <v>73</v>
      </c>
      <c r="D31" s="151">
        <v>0</v>
      </c>
      <c r="E31" s="151">
        <v>0</v>
      </c>
      <c r="F31" s="151">
        <v>0</v>
      </c>
      <c r="G31" s="151">
        <v>0</v>
      </c>
      <c r="H31" s="151">
        <v>0</v>
      </c>
      <c r="I31" s="151">
        <v>0</v>
      </c>
      <c r="J31" s="152">
        <f t="shared" si="1"/>
        <v>0</v>
      </c>
      <c r="K31" s="75"/>
      <c r="L31" s="135">
        <f t="shared" si="2"/>
        <v>0</v>
      </c>
      <c r="M31" s="25">
        <f t="shared" si="3"/>
        <v>0</v>
      </c>
      <c r="N31" s="25"/>
      <c r="O31" s="135">
        <f t="shared" si="4"/>
        <v>0</v>
      </c>
      <c r="P31" s="127">
        <f t="shared" si="5"/>
        <v>0</v>
      </c>
      <c r="Q31" s="25">
        <f t="shared" si="6"/>
        <v>0</v>
      </c>
      <c r="R31" s="135"/>
      <c r="S31" s="25"/>
      <c r="T31" s="3" t="s">
        <v>18</v>
      </c>
      <c r="U31" s="2" t="s">
        <v>61</v>
      </c>
      <c r="V31" s="64" t="s">
        <v>73</v>
      </c>
      <c r="W31" s="64" t="s">
        <v>73</v>
      </c>
      <c r="X31" s="148">
        <v>0</v>
      </c>
      <c r="Y31" s="148">
        <v>0</v>
      </c>
      <c r="Z31" s="148">
        <v>0</v>
      </c>
      <c r="AA31" s="148">
        <v>0</v>
      </c>
      <c r="AB31" s="148">
        <v>0</v>
      </c>
      <c r="AC31" s="148">
        <v>2</v>
      </c>
      <c r="AD31" s="125">
        <f t="shared" si="7"/>
        <v>2</v>
      </c>
      <c r="AE31" s="25"/>
      <c r="AF31" s="60">
        <f t="shared" si="0"/>
        <v>0</v>
      </c>
      <c r="AG31" s="60">
        <f t="shared" si="8"/>
        <v>2</v>
      </c>
      <c r="AI31" s="135">
        <f t="shared" si="9"/>
        <v>0</v>
      </c>
      <c r="AJ31" s="60">
        <f t="shared" si="10"/>
        <v>0</v>
      </c>
      <c r="AK31" s="168">
        <f t="shared" si="11"/>
        <v>2</v>
      </c>
      <c r="AL31" s="25"/>
    </row>
    <row r="32" spans="1:38" ht="15.75" x14ac:dyDescent="0.25">
      <c r="A32" s="3" t="s">
        <v>18</v>
      </c>
      <c r="B32" s="2" t="s">
        <v>61</v>
      </c>
      <c r="C32" s="64" t="s">
        <v>74</v>
      </c>
      <c r="D32" s="148">
        <v>0</v>
      </c>
      <c r="E32" s="148">
        <v>0</v>
      </c>
      <c r="F32" s="148">
        <v>0</v>
      </c>
      <c r="G32" s="148">
        <v>0</v>
      </c>
      <c r="H32" s="148">
        <v>0</v>
      </c>
      <c r="I32" s="148">
        <v>1</v>
      </c>
      <c r="J32" s="125">
        <f t="shared" si="1"/>
        <v>1</v>
      </c>
      <c r="K32" s="75"/>
      <c r="L32" s="135">
        <f t="shared" si="2"/>
        <v>0</v>
      </c>
      <c r="M32" s="25">
        <f t="shared" si="3"/>
        <v>1</v>
      </c>
      <c r="N32" s="25"/>
      <c r="O32" s="135">
        <f t="shared" si="4"/>
        <v>0</v>
      </c>
      <c r="P32" s="127">
        <f t="shared" si="5"/>
        <v>0</v>
      </c>
      <c r="Q32" s="25">
        <f t="shared" si="6"/>
        <v>1</v>
      </c>
      <c r="R32" s="135"/>
      <c r="S32" s="25"/>
      <c r="T32" s="138" t="s">
        <v>18</v>
      </c>
      <c r="U32" s="146" t="s">
        <v>61</v>
      </c>
      <c r="V32" s="150" t="s">
        <v>74</v>
      </c>
      <c r="W32" s="150" t="s">
        <v>74</v>
      </c>
      <c r="X32" s="151">
        <v>0</v>
      </c>
      <c r="Y32" s="151">
        <v>0</v>
      </c>
      <c r="Z32" s="151">
        <v>0</v>
      </c>
      <c r="AA32" s="151">
        <v>0</v>
      </c>
      <c r="AB32" s="151">
        <v>0</v>
      </c>
      <c r="AC32" s="151">
        <v>0</v>
      </c>
      <c r="AD32" s="152">
        <f t="shared" si="7"/>
        <v>0</v>
      </c>
      <c r="AE32" s="25"/>
      <c r="AF32" s="60">
        <f t="shared" si="0"/>
        <v>0</v>
      </c>
      <c r="AG32" s="60">
        <f t="shared" si="8"/>
        <v>0</v>
      </c>
      <c r="AI32" s="135">
        <f t="shared" si="9"/>
        <v>0</v>
      </c>
      <c r="AJ32" s="60">
        <f t="shared" si="10"/>
        <v>0</v>
      </c>
      <c r="AK32" s="168">
        <f t="shared" si="11"/>
        <v>0</v>
      </c>
      <c r="AL32" s="25"/>
    </row>
    <row r="33" spans="1:38" ht="15.75" x14ac:dyDescent="0.25">
      <c r="A33" s="3" t="s">
        <v>18</v>
      </c>
      <c r="B33" s="2" t="s">
        <v>61</v>
      </c>
      <c r="C33" s="64" t="s">
        <v>76</v>
      </c>
      <c r="D33" s="148">
        <v>0</v>
      </c>
      <c r="E33" s="148">
        <v>0</v>
      </c>
      <c r="F33" s="148">
        <v>0</v>
      </c>
      <c r="G33" s="148">
        <v>1</v>
      </c>
      <c r="H33" s="148">
        <v>0</v>
      </c>
      <c r="I33" s="148">
        <v>0</v>
      </c>
      <c r="J33" s="125">
        <f t="shared" si="1"/>
        <v>1</v>
      </c>
      <c r="K33" s="75"/>
      <c r="L33" s="135">
        <f t="shared" si="2"/>
        <v>0</v>
      </c>
      <c r="M33" s="25">
        <f t="shared" si="3"/>
        <v>1</v>
      </c>
      <c r="N33" s="25"/>
      <c r="O33" s="135">
        <f t="shared" si="4"/>
        <v>0</v>
      </c>
      <c r="P33" s="127">
        <f t="shared" si="5"/>
        <v>1</v>
      </c>
      <c r="Q33" s="25">
        <f t="shared" si="6"/>
        <v>0</v>
      </c>
      <c r="R33" s="135"/>
      <c r="S33" s="25"/>
      <c r="T33" s="138" t="s">
        <v>18</v>
      </c>
      <c r="U33" s="146" t="s">
        <v>61</v>
      </c>
      <c r="V33" s="150" t="s">
        <v>76</v>
      </c>
      <c r="W33" s="150" t="s">
        <v>76</v>
      </c>
      <c r="X33" s="151">
        <v>0</v>
      </c>
      <c r="Y33" s="151">
        <v>0</v>
      </c>
      <c r="Z33" s="151">
        <v>0</v>
      </c>
      <c r="AA33" s="151">
        <v>0</v>
      </c>
      <c r="AB33" s="151">
        <v>0</v>
      </c>
      <c r="AC33" s="151">
        <v>0</v>
      </c>
      <c r="AD33" s="152">
        <f t="shared" si="7"/>
        <v>0</v>
      </c>
      <c r="AE33" s="25"/>
      <c r="AF33" s="60">
        <f t="shared" si="0"/>
        <v>0</v>
      </c>
      <c r="AG33" s="60">
        <f t="shared" si="8"/>
        <v>0</v>
      </c>
      <c r="AI33" s="135">
        <f t="shared" si="9"/>
        <v>0</v>
      </c>
      <c r="AJ33" s="60">
        <f t="shared" si="10"/>
        <v>0</v>
      </c>
      <c r="AK33" s="168">
        <f t="shared" si="11"/>
        <v>0</v>
      </c>
      <c r="AL33" s="25"/>
    </row>
    <row r="34" spans="1:38" ht="15.75" x14ac:dyDescent="0.25">
      <c r="A34" s="3" t="s">
        <v>18</v>
      </c>
      <c r="B34" s="3" t="s">
        <v>136</v>
      </c>
      <c r="C34" s="64" t="s">
        <v>314</v>
      </c>
      <c r="D34" s="148">
        <v>0</v>
      </c>
      <c r="E34" s="11">
        <v>2</v>
      </c>
      <c r="F34" s="11">
        <v>0</v>
      </c>
      <c r="G34" s="11">
        <v>2</v>
      </c>
      <c r="H34" s="11">
        <v>0</v>
      </c>
      <c r="I34" s="11">
        <v>0</v>
      </c>
      <c r="J34" s="125">
        <f t="shared" si="1"/>
        <v>4</v>
      </c>
      <c r="K34" s="25"/>
      <c r="L34" s="135">
        <f t="shared" si="2"/>
        <v>2</v>
      </c>
      <c r="M34" s="25">
        <f t="shared" si="3"/>
        <v>2</v>
      </c>
      <c r="N34" s="25"/>
      <c r="O34" s="135">
        <f t="shared" si="4"/>
        <v>2</v>
      </c>
      <c r="P34" s="127">
        <f t="shared" si="5"/>
        <v>2</v>
      </c>
      <c r="Q34" s="25">
        <f t="shared" si="6"/>
        <v>0</v>
      </c>
      <c r="R34" s="135"/>
      <c r="S34" s="25"/>
      <c r="T34" s="138" t="s">
        <v>18</v>
      </c>
      <c r="U34" s="138" t="s">
        <v>136</v>
      </c>
      <c r="V34" s="150" t="s">
        <v>314</v>
      </c>
      <c r="W34" s="150" t="s">
        <v>314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52">
        <f t="shared" si="7"/>
        <v>0</v>
      </c>
      <c r="AE34" s="25"/>
      <c r="AF34" s="60">
        <f t="shared" si="0"/>
        <v>0</v>
      </c>
      <c r="AG34" s="60">
        <f t="shared" si="8"/>
        <v>0</v>
      </c>
      <c r="AI34" s="135">
        <f t="shared" si="9"/>
        <v>0</v>
      </c>
      <c r="AJ34" s="60">
        <f t="shared" si="10"/>
        <v>0</v>
      </c>
      <c r="AK34" s="168">
        <f t="shared" si="11"/>
        <v>0</v>
      </c>
      <c r="AL34" s="25"/>
    </row>
    <row r="35" spans="1:38" ht="15.75" x14ac:dyDescent="0.25">
      <c r="A35" s="3" t="s">
        <v>18</v>
      </c>
      <c r="B35" s="3" t="s">
        <v>136</v>
      </c>
      <c r="C35" s="64" t="s">
        <v>315</v>
      </c>
      <c r="D35" s="148">
        <v>1</v>
      </c>
      <c r="E35" s="148">
        <v>0</v>
      </c>
      <c r="F35" s="148">
        <v>0</v>
      </c>
      <c r="G35" s="148">
        <v>0</v>
      </c>
      <c r="H35" s="148">
        <v>0</v>
      </c>
      <c r="I35" s="148">
        <v>1</v>
      </c>
      <c r="J35" s="125">
        <f t="shared" si="1"/>
        <v>2</v>
      </c>
      <c r="K35" s="75"/>
      <c r="L35" s="135">
        <f t="shared" ref="L35:L55" si="12">SUM(D35:F35)</f>
        <v>1</v>
      </c>
      <c r="M35" s="25">
        <f t="shared" si="3"/>
        <v>1</v>
      </c>
      <c r="N35" s="25"/>
      <c r="O35" s="135">
        <f t="shared" si="4"/>
        <v>1</v>
      </c>
      <c r="P35" s="127">
        <f t="shared" si="5"/>
        <v>0</v>
      </c>
      <c r="Q35" s="25">
        <f t="shared" si="6"/>
        <v>1</v>
      </c>
      <c r="R35" s="135"/>
      <c r="S35" s="25"/>
      <c r="T35" s="138" t="s">
        <v>18</v>
      </c>
      <c r="U35" s="138" t="s">
        <v>136</v>
      </c>
      <c r="V35" s="150" t="s">
        <v>315</v>
      </c>
      <c r="W35" s="150" t="s">
        <v>315</v>
      </c>
      <c r="X35" s="151">
        <v>0</v>
      </c>
      <c r="Y35" s="151">
        <v>0</v>
      </c>
      <c r="Z35" s="151">
        <v>0</v>
      </c>
      <c r="AA35" s="151">
        <v>0</v>
      </c>
      <c r="AB35" s="151">
        <v>0</v>
      </c>
      <c r="AC35" s="151">
        <v>0</v>
      </c>
      <c r="AD35" s="152">
        <f t="shared" si="7"/>
        <v>0</v>
      </c>
      <c r="AE35" s="25"/>
      <c r="AF35" s="60">
        <f t="shared" ref="AF35:AF55" si="13">SUM(X35:Z35)</f>
        <v>0</v>
      </c>
      <c r="AG35" s="60">
        <f t="shared" si="8"/>
        <v>0</v>
      </c>
      <c r="AI35" s="135">
        <f t="shared" si="9"/>
        <v>0</v>
      </c>
      <c r="AJ35" s="60">
        <f t="shared" si="10"/>
        <v>0</v>
      </c>
      <c r="AK35" s="168">
        <f t="shared" si="11"/>
        <v>0</v>
      </c>
      <c r="AL35" s="25"/>
    </row>
    <row r="36" spans="1:38" ht="15.75" x14ac:dyDescent="0.25">
      <c r="A36" s="3" t="s">
        <v>18</v>
      </c>
      <c r="B36" s="3" t="s">
        <v>305</v>
      </c>
      <c r="C36" s="64" t="s">
        <v>303</v>
      </c>
      <c r="D36" s="148">
        <v>0</v>
      </c>
      <c r="E36" s="148">
        <v>0</v>
      </c>
      <c r="F36" s="148">
        <v>0</v>
      </c>
      <c r="G36" s="148">
        <v>1</v>
      </c>
      <c r="H36" s="148">
        <v>0</v>
      </c>
      <c r="I36" s="148">
        <v>0</v>
      </c>
      <c r="J36" s="125">
        <f t="shared" si="1"/>
        <v>1</v>
      </c>
      <c r="K36" s="75"/>
      <c r="L36" s="135">
        <f t="shared" si="12"/>
        <v>0</v>
      </c>
      <c r="M36" s="25">
        <f t="shared" si="3"/>
        <v>1</v>
      </c>
      <c r="N36" s="25"/>
      <c r="O36" s="135">
        <f t="shared" si="4"/>
        <v>0</v>
      </c>
      <c r="P36" s="127">
        <f t="shared" si="5"/>
        <v>1</v>
      </c>
      <c r="Q36" s="25">
        <f t="shared" si="6"/>
        <v>0</v>
      </c>
      <c r="R36" s="135"/>
      <c r="S36" s="25"/>
      <c r="T36" s="138" t="s">
        <v>18</v>
      </c>
      <c r="U36" s="138" t="s">
        <v>305</v>
      </c>
      <c r="V36" s="150" t="s">
        <v>303</v>
      </c>
      <c r="W36" s="150" t="s">
        <v>303</v>
      </c>
      <c r="X36" s="151">
        <v>0</v>
      </c>
      <c r="Y36" s="151">
        <v>0</v>
      </c>
      <c r="Z36" s="151">
        <v>0</v>
      </c>
      <c r="AA36" s="151">
        <v>0</v>
      </c>
      <c r="AB36" s="151">
        <v>0</v>
      </c>
      <c r="AC36" s="151">
        <v>0</v>
      </c>
      <c r="AD36" s="152">
        <f t="shared" si="7"/>
        <v>0</v>
      </c>
      <c r="AE36" s="25"/>
      <c r="AF36" s="60">
        <f t="shared" si="13"/>
        <v>0</v>
      </c>
      <c r="AG36" s="60">
        <f t="shared" si="8"/>
        <v>0</v>
      </c>
      <c r="AI36" s="135">
        <f t="shared" si="9"/>
        <v>0</v>
      </c>
      <c r="AJ36" s="60">
        <f t="shared" si="10"/>
        <v>0</v>
      </c>
      <c r="AK36" s="168">
        <f t="shared" si="11"/>
        <v>0</v>
      </c>
      <c r="AL36" s="25"/>
    </row>
    <row r="37" spans="1:38" ht="15.75" x14ac:dyDescent="0.25">
      <c r="A37" s="3" t="s">
        <v>18</v>
      </c>
      <c r="B37" s="2" t="s">
        <v>105</v>
      </c>
      <c r="C37" s="64" t="s">
        <v>106</v>
      </c>
      <c r="D37" s="148">
        <v>1</v>
      </c>
      <c r="E37" s="148">
        <v>0</v>
      </c>
      <c r="F37" s="148">
        <v>1</v>
      </c>
      <c r="G37" s="148">
        <v>0</v>
      </c>
      <c r="H37" s="148">
        <v>4</v>
      </c>
      <c r="I37" s="148">
        <v>0</v>
      </c>
      <c r="J37" s="125">
        <f t="shared" si="1"/>
        <v>6</v>
      </c>
      <c r="K37" s="75"/>
      <c r="L37" s="135">
        <f t="shared" si="12"/>
        <v>2</v>
      </c>
      <c r="M37" s="25">
        <f t="shared" si="3"/>
        <v>4</v>
      </c>
      <c r="N37" s="25"/>
      <c r="O37" s="135">
        <f t="shared" si="4"/>
        <v>1</v>
      </c>
      <c r="P37" s="127">
        <f t="shared" si="5"/>
        <v>1</v>
      </c>
      <c r="Q37" s="25">
        <f t="shared" si="6"/>
        <v>4</v>
      </c>
      <c r="R37" s="135"/>
      <c r="S37" s="25"/>
      <c r="T37" s="3" t="s">
        <v>18</v>
      </c>
      <c r="U37" s="2" t="s">
        <v>105</v>
      </c>
      <c r="V37" s="64" t="s">
        <v>106</v>
      </c>
      <c r="W37" s="64" t="s">
        <v>106</v>
      </c>
      <c r="X37" s="148">
        <v>2</v>
      </c>
      <c r="Y37" s="148">
        <v>1</v>
      </c>
      <c r="Z37" s="148">
        <v>0</v>
      </c>
      <c r="AA37" s="148">
        <v>0</v>
      </c>
      <c r="AB37" s="148">
        <v>0</v>
      </c>
      <c r="AC37" s="148">
        <v>0</v>
      </c>
      <c r="AD37" s="125">
        <f t="shared" si="7"/>
        <v>3</v>
      </c>
      <c r="AE37" s="25"/>
      <c r="AF37" s="60">
        <f t="shared" si="13"/>
        <v>3</v>
      </c>
      <c r="AG37" s="60">
        <f t="shared" si="8"/>
        <v>0</v>
      </c>
      <c r="AI37" s="135">
        <f t="shared" si="9"/>
        <v>3</v>
      </c>
      <c r="AJ37" s="60">
        <f t="shared" si="10"/>
        <v>0</v>
      </c>
      <c r="AK37" s="168">
        <f t="shared" si="11"/>
        <v>0</v>
      </c>
      <c r="AL37" s="25"/>
    </row>
    <row r="38" spans="1:38" ht="15.75" x14ac:dyDescent="0.25">
      <c r="A38" s="3" t="s">
        <v>18</v>
      </c>
      <c r="B38" s="3" t="s">
        <v>29</v>
      </c>
      <c r="C38" s="66" t="s">
        <v>30</v>
      </c>
      <c r="D38" s="148">
        <v>1</v>
      </c>
      <c r="E38" s="148">
        <v>0</v>
      </c>
      <c r="F38" s="148">
        <v>1</v>
      </c>
      <c r="G38" s="148">
        <v>0</v>
      </c>
      <c r="H38" s="148">
        <v>0</v>
      </c>
      <c r="I38" s="148">
        <v>0</v>
      </c>
      <c r="J38" s="125">
        <f t="shared" si="1"/>
        <v>2</v>
      </c>
      <c r="K38" s="75"/>
      <c r="L38" s="135">
        <f t="shared" si="12"/>
        <v>2</v>
      </c>
      <c r="M38" s="25">
        <f t="shared" si="3"/>
        <v>0</v>
      </c>
      <c r="N38" s="25"/>
      <c r="O38" s="135">
        <f t="shared" si="4"/>
        <v>1</v>
      </c>
      <c r="P38" s="127">
        <f t="shared" si="5"/>
        <v>1</v>
      </c>
      <c r="Q38" s="25">
        <f t="shared" si="6"/>
        <v>0</v>
      </c>
      <c r="R38" s="135"/>
      <c r="S38" s="25"/>
      <c r="T38" s="138" t="s">
        <v>18</v>
      </c>
      <c r="U38" s="138" t="s">
        <v>29</v>
      </c>
      <c r="V38" s="159" t="s">
        <v>30</v>
      </c>
      <c r="W38" s="159" t="s">
        <v>30</v>
      </c>
      <c r="X38" s="151">
        <v>0</v>
      </c>
      <c r="Y38" s="151">
        <v>0</v>
      </c>
      <c r="Z38" s="151">
        <v>0</v>
      </c>
      <c r="AA38" s="151">
        <v>0</v>
      </c>
      <c r="AB38" s="151">
        <v>0</v>
      </c>
      <c r="AC38" s="151">
        <v>0</v>
      </c>
      <c r="AD38" s="152">
        <f t="shared" si="7"/>
        <v>0</v>
      </c>
      <c r="AE38" s="25"/>
      <c r="AF38" s="60">
        <f t="shared" si="13"/>
        <v>0</v>
      </c>
      <c r="AG38" s="60">
        <f t="shared" si="8"/>
        <v>0</v>
      </c>
      <c r="AI38" s="135">
        <f t="shared" si="9"/>
        <v>0</v>
      </c>
      <c r="AJ38" s="60">
        <f t="shared" si="10"/>
        <v>0</v>
      </c>
      <c r="AK38" s="168">
        <f t="shared" si="11"/>
        <v>0</v>
      </c>
      <c r="AL38" s="25"/>
    </row>
    <row r="39" spans="1:38" ht="15.75" x14ac:dyDescent="0.25">
      <c r="A39" s="3" t="s">
        <v>18</v>
      </c>
      <c r="B39" s="2" t="s">
        <v>113</v>
      </c>
      <c r="C39" s="64" t="s">
        <v>114</v>
      </c>
      <c r="D39" s="148">
        <v>1</v>
      </c>
      <c r="E39" s="11">
        <v>1</v>
      </c>
      <c r="F39" s="11">
        <v>0</v>
      </c>
      <c r="G39" s="11">
        <v>1</v>
      </c>
      <c r="H39" s="11">
        <v>0</v>
      </c>
      <c r="I39" s="11">
        <v>3</v>
      </c>
      <c r="J39" s="125">
        <f t="shared" si="1"/>
        <v>6</v>
      </c>
      <c r="K39" s="25"/>
      <c r="L39" s="135">
        <f t="shared" si="12"/>
        <v>2</v>
      </c>
      <c r="M39" s="25">
        <f t="shared" si="3"/>
        <v>4</v>
      </c>
      <c r="N39" s="25"/>
      <c r="O39" s="135">
        <f t="shared" si="4"/>
        <v>2</v>
      </c>
      <c r="P39" s="127">
        <f t="shared" si="5"/>
        <v>1</v>
      </c>
      <c r="Q39" s="25">
        <f t="shared" si="6"/>
        <v>3</v>
      </c>
      <c r="R39" s="135"/>
      <c r="S39" s="25"/>
      <c r="T39" s="3" t="s">
        <v>18</v>
      </c>
      <c r="U39" s="2" t="s">
        <v>113</v>
      </c>
      <c r="V39" s="64" t="s">
        <v>114</v>
      </c>
      <c r="W39" s="64" t="s">
        <v>114</v>
      </c>
      <c r="X39" s="11">
        <v>3</v>
      </c>
      <c r="Y39" s="11">
        <v>1</v>
      </c>
      <c r="Z39" s="11">
        <v>0</v>
      </c>
      <c r="AA39" s="11">
        <v>0</v>
      </c>
      <c r="AB39" s="11">
        <v>0</v>
      </c>
      <c r="AC39" s="11">
        <v>2</v>
      </c>
      <c r="AD39" s="125">
        <f t="shared" si="7"/>
        <v>6</v>
      </c>
      <c r="AE39" s="25"/>
      <c r="AF39" s="60">
        <f t="shared" si="13"/>
        <v>4</v>
      </c>
      <c r="AG39" s="60">
        <f t="shared" si="8"/>
        <v>2</v>
      </c>
      <c r="AI39" s="135">
        <f t="shared" si="9"/>
        <v>4</v>
      </c>
      <c r="AJ39" s="60">
        <f t="shared" si="10"/>
        <v>0</v>
      </c>
      <c r="AK39" s="168">
        <f t="shared" si="11"/>
        <v>2</v>
      </c>
      <c r="AL39" s="25"/>
    </row>
    <row r="40" spans="1:38" ht="15.75" x14ac:dyDescent="0.25">
      <c r="A40" s="3" t="s">
        <v>18</v>
      </c>
      <c r="B40" s="2" t="s">
        <v>113</v>
      </c>
      <c r="C40" s="64" t="s">
        <v>120</v>
      </c>
      <c r="D40" s="148">
        <v>0</v>
      </c>
      <c r="E40" s="11">
        <v>0</v>
      </c>
      <c r="F40" s="11">
        <v>0</v>
      </c>
      <c r="G40" s="11">
        <v>0</v>
      </c>
      <c r="H40" s="11">
        <v>0</v>
      </c>
      <c r="I40" s="11">
        <v>1</v>
      </c>
      <c r="J40" s="125">
        <f t="shared" si="1"/>
        <v>1</v>
      </c>
      <c r="K40" s="25"/>
      <c r="L40" s="135">
        <f t="shared" si="12"/>
        <v>0</v>
      </c>
      <c r="M40" s="25">
        <f t="shared" si="3"/>
        <v>1</v>
      </c>
      <c r="N40" s="25"/>
      <c r="O40" s="135">
        <f t="shared" si="4"/>
        <v>0</v>
      </c>
      <c r="P40" s="127">
        <f t="shared" si="5"/>
        <v>0</v>
      </c>
      <c r="Q40" s="25">
        <f t="shared" si="6"/>
        <v>1</v>
      </c>
      <c r="R40" s="135"/>
      <c r="S40" s="25"/>
      <c r="T40" s="138" t="s">
        <v>18</v>
      </c>
      <c r="U40" s="146" t="s">
        <v>113</v>
      </c>
      <c r="V40" s="150" t="s">
        <v>120</v>
      </c>
      <c r="W40" s="150" t="s">
        <v>120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52">
        <f t="shared" si="7"/>
        <v>0</v>
      </c>
      <c r="AE40" s="25"/>
      <c r="AF40" s="60">
        <f t="shared" si="13"/>
        <v>0</v>
      </c>
      <c r="AG40" s="60">
        <f t="shared" si="8"/>
        <v>0</v>
      </c>
      <c r="AI40" s="135">
        <f t="shared" si="9"/>
        <v>0</v>
      </c>
      <c r="AJ40" s="60">
        <f t="shared" si="10"/>
        <v>0</v>
      </c>
      <c r="AK40" s="168">
        <f t="shared" si="11"/>
        <v>0</v>
      </c>
      <c r="AL40" s="25"/>
    </row>
    <row r="41" spans="1:38" ht="15.75" x14ac:dyDescent="0.25">
      <c r="A41" s="3" t="s">
        <v>18</v>
      </c>
      <c r="B41" s="2" t="s">
        <v>113</v>
      </c>
      <c r="C41" s="64" t="s">
        <v>122</v>
      </c>
      <c r="D41" s="148">
        <v>0</v>
      </c>
      <c r="E41" s="148">
        <v>0</v>
      </c>
      <c r="F41" s="148">
        <v>0</v>
      </c>
      <c r="G41" s="148">
        <v>0</v>
      </c>
      <c r="H41" s="148">
        <v>0</v>
      </c>
      <c r="I41" s="148">
        <v>1</v>
      </c>
      <c r="J41" s="125">
        <f t="shared" si="1"/>
        <v>1</v>
      </c>
      <c r="K41" s="75"/>
      <c r="L41" s="135">
        <f t="shared" si="12"/>
        <v>0</v>
      </c>
      <c r="M41" s="25">
        <f t="shared" si="3"/>
        <v>1</v>
      </c>
      <c r="N41" s="25"/>
      <c r="O41" s="135">
        <f t="shared" si="4"/>
        <v>0</v>
      </c>
      <c r="P41" s="127">
        <f t="shared" si="5"/>
        <v>0</v>
      </c>
      <c r="Q41" s="25">
        <f t="shared" si="6"/>
        <v>1</v>
      </c>
      <c r="R41" s="135"/>
      <c r="S41" s="25"/>
      <c r="T41" s="138" t="s">
        <v>18</v>
      </c>
      <c r="U41" s="146" t="s">
        <v>113</v>
      </c>
      <c r="V41" s="150" t="s">
        <v>122</v>
      </c>
      <c r="W41" s="150" t="s">
        <v>122</v>
      </c>
      <c r="X41" s="151">
        <v>0</v>
      </c>
      <c r="Y41" s="151">
        <v>0</v>
      </c>
      <c r="Z41" s="151">
        <v>0</v>
      </c>
      <c r="AA41" s="151">
        <v>0</v>
      </c>
      <c r="AB41" s="151">
        <v>0</v>
      </c>
      <c r="AC41" s="151">
        <v>0</v>
      </c>
      <c r="AD41" s="152">
        <f t="shared" si="7"/>
        <v>0</v>
      </c>
      <c r="AE41" s="25"/>
      <c r="AF41" s="60">
        <f t="shared" si="13"/>
        <v>0</v>
      </c>
      <c r="AG41" s="60">
        <f t="shared" si="8"/>
        <v>0</v>
      </c>
      <c r="AI41" s="135">
        <f t="shared" si="9"/>
        <v>0</v>
      </c>
      <c r="AJ41" s="60">
        <f t="shared" si="10"/>
        <v>0</v>
      </c>
      <c r="AK41" s="168">
        <f t="shared" si="11"/>
        <v>0</v>
      </c>
      <c r="AL41" s="25"/>
    </row>
    <row r="42" spans="1:38" ht="15.75" x14ac:dyDescent="0.25">
      <c r="A42" s="3" t="s">
        <v>18</v>
      </c>
      <c r="B42" s="2" t="s">
        <v>113</v>
      </c>
      <c r="C42" s="64" t="s">
        <v>310</v>
      </c>
      <c r="D42" s="149">
        <v>0</v>
      </c>
      <c r="E42" s="148">
        <v>0</v>
      </c>
      <c r="F42" s="149">
        <v>0</v>
      </c>
      <c r="G42" s="149">
        <v>1</v>
      </c>
      <c r="H42" s="148">
        <v>0</v>
      </c>
      <c r="I42" s="149">
        <v>0</v>
      </c>
      <c r="J42" s="125">
        <f t="shared" si="1"/>
        <v>1</v>
      </c>
      <c r="K42" s="75"/>
      <c r="L42" s="135">
        <f t="shared" si="12"/>
        <v>0</v>
      </c>
      <c r="M42" s="25">
        <f t="shared" si="3"/>
        <v>1</v>
      </c>
      <c r="N42" s="25"/>
      <c r="O42" s="135">
        <f t="shared" si="4"/>
        <v>0</v>
      </c>
      <c r="P42" s="127">
        <f t="shared" si="5"/>
        <v>1</v>
      </c>
      <c r="Q42" s="25">
        <f t="shared" si="6"/>
        <v>0</v>
      </c>
      <c r="R42" s="135"/>
      <c r="S42" s="25"/>
      <c r="T42" s="138" t="s">
        <v>18</v>
      </c>
      <c r="U42" s="146" t="s">
        <v>113</v>
      </c>
      <c r="V42" s="150" t="s">
        <v>310</v>
      </c>
      <c r="W42" s="150" t="s">
        <v>310</v>
      </c>
      <c r="X42" s="151">
        <v>0</v>
      </c>
      <c r="Y42" s="154">
        <v>0</v>
      </c>
      <c r="Z42" s="151">
        <v>0</v>
      </c>
      <c r="AA42" s="151">
        <v>0</v>
      </c>
      <c r="AB42" s="154">
        <v>0</v>
      </c>
      <c r="AC42" s="154">
        <v>0</v>
      </c>
      <c r="AD42" s="152">
        <f t="shared" si="7"/>
        <v>0</v>
      </c>
      <c r="AE42" s="25"/>
      <c r="AF42" s="60">
        <f t="shared" si="13"/>
        <v>0</v>
      </c>
      <c r="AG42" s="60">
        <f t="shared" si="8"/>
        <v>0</v>
      </c>
      <c r="AI42" s="135">
        <f t="shared" si="9"/>
        <v>0</v>
      </c>
      <c r="AJ42" s="60">
        <f t="shared" si="10"/>
        <v>0</v>
      </c>
      <c r="AK42" s="168">
        <f t="shared" si="11"/>
        <v>0</v>
      </c>
      <c r="AL42" s="25"/>
    </row>
    <row r="43" spans="1:38" ht="15.75" x14ac:dyDescent="0.25">
      <c r="A43" s="3" t="s">
        <v>18</v>
      </c>
      <c r="B43" s="3" t="s">
        <v>38</v>
      </c>
      <c r="C43" s="64" t="s">
        <v>39</v>
      </c>
      <c r="D43" s="148">
        <v>0</v>
      </c>
      <c r="E43" s="148">
        <v>1</v>
      </c>
      <c r="F43" s="148">
        <v>0</v>
      </c>
      <c r="G43" s="148">
        <v>0</v>
      </c>
      <c r="H43" s="148">
        <v>1</v>
      </c>
      <c r="I43" s="148">
        <v>0</v>
      </c>
      <c r="J43" s="125">
        <f t="shared" si="1"/>
        <v>2</v>
      </c>
      <c r="K43" s="75"/>
      <c r="L43" s="135">
        <f t="shared" si="12"/>
        <v>1</v>
      </c>
      <c r="M43" s="25">
        <f t="shared" si="3"/>
        <v>1</v>
      </c>
      <c r="N43" s="25"/>
      <c r="O43" s="135">
        <f t="shared" si="4"/>
        <v>1</v>
      </c>
      <c r="P43" s="127">
        <f t="shared" si="5"/>
        <v>0</v>
      </c>
      <c r="Q43" s="25">
        <f t="shared" si="6"/>
        <v>1</v>
      </c>
      <c r="R43" s="135"/>
      <c r="S43" s="25"/>
      <c r="T43" s="138" t="s">
        <v>18</v>
      </c>
      <c r="U43" s="138" t="s">
        <v>38</v>
      </c>
      <c r="V43" s="150" t="s">
        <v>39</v>
      </c>
      <c r="W43" s="150" t="s">
        <v>39</v>
      </c>
      <c r="X43" s="151">
        <v>0</v>
      </c>
      <c r="Y43" s="151">
        <v>0</v>
      </c>
      <c r="Z43" s="151">
        <v>0</v>
      </c>
      <c r="AA43" s="151">
        <v>0</v>
      </c>
      <c r="AB43" s="151">
        <v>0</v>
      </c>
      <c r="AC43" s="151">
        <v>0</v>
      </c>
      <c r="AD43" s="152">
        <f t="shared" si="7"/>
        <v>0</v>
      </c>
      <c r="AE43" s="25"/>
      <c r="AF43" s="60">
        <f t="shared" si="13"/>
        <v>0</v>
      </c>
      <c r="AG43" s="60">
        <f t="shared" si="8"/>
        <v>0</v>
      </c>
      <c r="AI43" s="135">
        <f t="shared" si="9"/>
        <v>0</v>
      </c>
      <c r="AJ43" s="60">
        <f t="shared" si="10"/>
        <v>0</v>
      </c>
      <c r="AK43" s="168">
        <f t="shared" si="11"/>
        <v>0</v>
      </c>
      <c r="AL43" s="25"/>
    </row>
    <row r="44" spans="1:38" ht="15.75" x14ac:dyDescent="0.25">
      <c r="A44" s="3" t="s">
        <v>18</v>
      </c>
      <c r="B44" s="3" t="s">
        <v>38</v>
      </c>
      <c r="C44" s="64" t="s">
        <v>41</v>
      </c>
      <c r="D44" s="148">
        <v>0</v>
      </c>
      <c r="E44" s="148">
        <v>0</v>
      </c>
      <c r="F44" s="148">
        <v>0</v>
      </c>
      <c r="G44" s="148">
        <v>1</v>
      </c>
      <c r="H44" s="148">
        <v>0</v>
      </c>
      <c r="I44" s="148">
        <v>1</v>
      </c>
      <c r="J44" s="125">
        <f t="shared" si="1"/>
        <v>2</v>
      </c>
      <c r="K44" s="75"/>
      <c r="L44" s="135">
        <f t="shared" si="12"/>
        <v>0</v>
      </c>
      <c r="M44" s="25">
        <f t="shared" si="3"/>
        <v>2</v>
      </c>
      <c r="N44" s="25"/>
      <c r="O44" s="135">
        <f t="shared" si="4"/>
        <v>0</v>
      </c>
      <c r="P44" s="127">
        <f t="shared" si="5"/>
        <v>1</v>
      </c>
      <c r="Q44" s="25">
        <f t="shared" si="6"/>
        <v>1</v>
      </c>
      <c r="R44" s="135"/>
      <c r="S44" s="25"/>
      <c r="T44" s="138" t="s">
        <v>18</v>
      </c>
      <c r="U44" s="138" t="s">
        <v>38</v>
      </c>
      <c r="V44" s="150" t="s">
        <v>41</v>
      </c>
      <c r="W44" s="150" t="s">
        <v>41</v>
      </c>
      <c r="X44" s="151">
        <v>0</v>
      </c>
      <c r="Y44" s="151">
        <v>0</v>
      </c>
      <c r="Z44" s="151">
        <v>0</v>
      </c>
      <c r="AA44" s="151">
        <v>0</v>
      </c>
      <c r="AB44" s="151">
        <v>0</v>
      </c>
      <c r="AC44" s="151">
        <v>0</v>
      </c>
      <c r="AD44" s="152">
        <f t="shared" si="7"/>
        <v>0</v>
      </c>
      <c r="AE44" s="25"/>
      <c r="AF44" s="60">
        <f t="shared" si="13"/>
        <v>0</v>
      </c>
      <c r="AG44" s="60">
        <f t="shared" si="8"/>
        <v>0</v>
      </c>
      <c r="AI44" s="135">
        <f t="shared" si="9"/>
        <v>0</v>
      </c>
      <c r="AJ44" s="60">
        <f t="shared" si="10"/>
        <v>0</v>
      </c>
      <c r="AK44" s="168">
        <f t="shared" si="11"/>
        <v>0</v>
      </c>
      <c r="AL44" s="25"/>
    </row>
    <row r="45" spans="1:38" ht="15.75" x14ac:dyDescent="0.25">
      <c r="A45" s="3" t="s">
        <v>18</v>
      </c>
      <c r="B45" s="3" t="s">
        <v>38</v>
      </c>
      <c r="C45" s="64" t="s">
        <v>42</v>
      </c>
      <c r="D45" s="148">
        <v>0</v>
      </c>
      <c r="E45" s="148">
        <v>0</v>
      </c>
      <c r="F45" s="148">
        <v>0</v>
      </c>
      <c r="G45" s="148">
        <v>0</v>
      </c>
      <c r="H45" s="148">
        <v>1</v>
      </c>
      <c r="I45" s="148">
        <v>0</v>
      </c>
      <c r="J45" s="125">
        <f t="shared" si="1"/>
        <v>1</v>
      </c>
      <c r="K45" s="75"/>
      <c r="L45" s="135">
        <f t="shared" si="12"/>
        <v>0</v>
      </c>
      <c r="M45" s="25">
        <f t="shared" si="3"/>
        <v>1</v>
      </c>
      <c r="N45" s="25"/>
      <c r="O45" s="135">
        <f t="shared" si="4"/>
        <v>0</v>
      </c>
      <c r="P45" s="127">
        <f t="shared" si="5"/>
        <v>0</v>
      </c>
      <c r="Q45" s="25">
        <f t="shared" si="6"/>
        <v>1</v>
      </c>
      <c r="R45" s="135"/>
      <c r="S45" s="25"/>
      <c r="T45" s="138" t="s">
        <v>18</v>
      </c>
      <c r="U45" s="138" t="s">
        <v>38</v>
      </c>
      <c r="V45" s="150" t="s">
        <v>42</v>
      </c>
      <c r="W45" s="150" t="s">
        <v>42</v>
      </c>
      <c r="X45" s="151">
        <v>0</v>
      </c>
      <c r="Y45" s="151">
        <v>0</v>
      </c>
      <c r="Z45" s="151">
        <v>0</v>
      </c>
      <c r="AA45" s="151">
        <v>0</v>
      </c>
      <c r="AB45" s="151">
        <v>0</v>
      </c>
      <c r="AC45" s="151">
        <v>0</v>
      </c>
      <c r="AD45" s="152">
        <f t="shared" si="7"/>
        <v>0</v>
      </c>
      <c r="AE45" s="25"/>
      <c r="AF45" s="60">
        <f t="shared" si="13"/>
        <v>0</v>
      </c>
      <c r="AG45" s="60">
        <f t="shared" si="8"/>
        <v>0</v>
      </c>
      <c r="AI45" s="135">
        <f t="shared" si="9"/>
        <v>0</v>
      </c>
      <c r="AJ45" s="60">
        <f t="shared" si="10"/>
        <v>0</v>
      </c>
      <c r="AK45" s="168">
        <f t="shared" si="11"/>
        <v>0</v>
      </c>
      <c r="AL45" s="25"/>
    </row>
    <row r="46" spans="1:38" ht="15.75" x14ac:dyDescent="0.25">
      <c r="A46" s="3" t="s">
        <v>18</v>
      </c>
      <c r="B46" s="3" t="s">
        <v>20</v>
      </c>
      <c r="C46" s="64" t="s">
        <v>311</v>
      </c>
      <c r="D46" s="148">
        <v>0</v>
      </c>
      <c r="E46" s="11">
        <v>0</v>
      </c>
      <c r="F46" s="11">
        <v>0</v>
      </c>
      <c r="G46" s="11">
        <v>0</v>
      </c>
      <c r="H46" s="11">
        <v>0</v>
      </c>
      <c r="I46" s="11">
        <v>1</v>
      </c>
      <c r="J46" s="125">
        <f t="shared" si="1"/>
        <v>1</v>
      </c>
      <c r="K46" s="25"/>
      <c r="L46" s="135">
        <f t="shared" si="12"/>
        <v>0</v>
      </c>
      <c r="M46" s="25">
        <f t="shared" si="3"/>
        <v>1</v>
      </c>
      <c r="N46" s="25"/>
      <c r="O46" s="135">
        <f t="shared" si="4"/>
        <v>0</v>
      </c>
      <c r="P46" s="127">
        <f t="shared" si="5"/>
        <v>0</v>
      </c>
      <c r="Q46" s="25">
        <f t="shared" si="6"/>
        <v>1</v>
      </c>
      <c r="R46" s="135"/>
      <c r="S46" s="25"/>
      <c r="T46" s="138" t="s">
        <v>18</v>
      </c>
      <c r="U46" s="138" t="s">
        <v>20</v>
      </c>
      <c r="V46" s="150" t="s">
        <v>311</v>
      </c>
      <c r="W46" s="150" t="s">
        <v>311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52">
        <f t="shared" si="7"/>
        <v>0</v>
      </c>
      <c r="AE46" s="25"/>
      <c r="AF46" s="60">
        <f t="shared" si="13"/>
        <v>0</v>
      </c>
      <c r="AG46" s="60">
        <f t="shared" si="8"/>
        <v>0</v>
      </c>
      <c r="AI46" s="135">
        <f t="shared" si="9"/>
        <v>0</v>
      </c>
      <c r="AJ46" s="60">
        <f t="shared" si="10"/>
        <v>0</v>
      </c>
      <c r="AK46" s="168">
        <f t="shared" si="11"/>
        <v>0</v>
      </c>
      <c r="AL46" s="25"/>
    </row>
    <row r="47" spans="1:38" ht="15.75" x14ac:dyDescent="0.25">
      <c r="A47" s="3" t="s">
        <v>18</v>
      </c>
      <c r="B47" s="2" t="s">
        <v>154</v>
      </c>
      <c r="C47" s="64" t="s">
        <v>155</v>
      </c>
      <c r="D47" s="148">
        <v>0</v>
      </c>
      <c r="E47" s="11">
        <v>0</v>
      </c>
      <c r="F47" s="11">
        <v>0</v>
      </c>
      <c r="G47" s="11">
        <v>0</v>
      </c>
      <c r="H47" s="11">
        <v>0</v>
      </c>
      <c r="I47" s="11">
        <v>1</v>
      </c>
      <c r="J47" s="125">
        <f t="shared" si="1"/>
        <v>1</v>
      </c>
      <c r="K47" s="25"/>
      <c r="L47" s="135">
        <f t="shared" si="12"/>
        <v>0</v>
      </c>
      <c r="M47" s="25">
        <f t="shared" si="3"/>
        <v>1</v>
      </c>
      <c r="N47" s="25"/>
      <c r="O47" s="135">
        <f t="shared" si="4"/>
        <v>0</v>
      </c>
      <c r="P47" s="127">
        <f t="shared" si="5"/>
        <v>0</v>
      </c>
      <c r="Q47" s="25">
        <f t="shared" si="6"/>
        <v>1</v>
      </c>
      <c r="R47" s="135"/>
      <c r="S47" s="25"/>
      <c r="T47" s="3" t="s">
        <v>18</v>
      </c>
      <c r="U47" s="2" t="s">
        <v>154</v>
      </c>
      <c r="V47" s="64" t="s">
        <v>155</v>
      </c>
      <c r="W47" s="64" t="s">
        <v>155</v>
      </c>
      <c r="X47" s="11">
        <v>0</v>
      </c>
      <c r="Y47" s="11">
        <v>2</v>
      </c>
      <c r="Z47" s="11">
        <v>1</v>
      </c>
      <c r="AA47" s="11">
        <v>0</v>
      </c>
      <c r="AB47" s="11">
        <v>0</v>
      </c>
      <c r="AC47" s="11">
        <v>0</v>
      </c>
      <c r="AD47" s="125">
        <f t="shared" si="7"/>
        <v>3</v>
      </c>
      <c r="AE47" s="25"/>
      <c r="AF47" s="60">
        <f t="shared" si="13"/>
        <v>3</v>
      </c>
      <c r="AG47" s="60">
        <f t="shared" si="8"/>
        <v>0</v>
      </c>
      <c r="AI47" s="135">
        <f t="shared" si="9"/>
        <v>2</v>
      </c>
      <c r="AJ47" s="60">
        <f t="shared" si="10"/>
        <v>1</v>
      </c>
      <c r="AK47" s="168">
        <f t="shared" si="11"/>
        <v>0</v>
      </c>
      <c r="AL47" s="25"/>
    </row>
    <row r="48" spans="1:38" ht="15.75" x14ac:dyDescent="0.25">
      <c r="A48" s="3" t="s">
        <v>18</v>
      </c>
      <c r="B48" s="146" t="s">
        <v>154</v>
      </c>
      <c r="C48" s="150" t="s">
        <v>159</v>
      </c>
      <c r="D48" s="151">
        <v>0</v>
      </c>
      <c r="E48" s="151">
        <v>0</v>
      </c>
      <c r="F48" s="151">
        <v>0</v>
      </c>
      <c r="G48" s="151">
        <v>0</v>
      </c>
      <c r="H48" s="151">
        <v>0</v>
      </c>
      <c r="I48" s="151">
        <v>0</v>
      </c>
      <c r="J48" s="152">
        <f t="shared" si="1"/>
        <v>0</v>
      </c>
      <c r="K48" s="75"/>
      <c r="L48" s="135">
        <f t="shared" si="12"/>
        <v>0</v>
      </c>
      <c r="M48" s="25">
        <f t="shared" si="3"/>
        <v>0</v>
      </c>
      <c r="N48" s="25"/>
      <c r="O48" s="135">
        <f t="shared" si="4"/>
        <v>0</v>
      </c>
      <c r="P48" s="127">
        <f t="shared" si="5"/>
        <v>0</v>
      </c>
      <c r="Q48" s="25">
        <f t="shared" si="6"/>
        <v>0</v>
      </c>
      <c r="R48" s="135"/>
      <c r="S48" s="25"/>
      <c r="T48" s="3" t="s">
        <v>18</v>
      </c>
      <c r="U48" s="2" t="s">
        <v>154</v>
      </c>
      <c r="V48" s="64" t="s">
        <v>159</v>
      </c>
      <c r="W48" s="64" t="s">
        <v>159</v>
      </c>
      <c r="X48" s="148">
        <v>0</v>
      </c>
      <c r="Y48" s="148">
        <v>1</v>
      </c>
      <c r="Z48" s="148">
        <v>0</v>
      </c>
      <c r="AA48" s="148">
        <v>0</v>
      </c>
      <c r="AB48" s="148">
        <v>0</v>
      </c>
      <c r="AC48" s="148">
        <v>0</v>
      </c>
      <c r="AD48" s="125">
        <f t="shared" si="7"/>
        <v>1</v>
      </c>
      <c r="AE48" s="25"/>
      <c r="AF48" s="60">
        <f t="shared" si="13"/>
        <v>1</v>
      </c>
      <c r="AG48" s="60">
        <f t="shared" si="8"/>
        <v>0</v>
      </c>
      <c r="AI48" s="135">
        <f t="shared" si="9"/>
        <v>1</v>
      </c>
      <c r="AJ48" s="60">
        <f t="shared" si="10"/>
        <v>0</v>
      </c>
      <c r="AK48" s="168">
        <f t="shared" si="11"/>
        <v>0</v>
      </c>
      <c r="AL48" s="25"/>
    </row>
    <row r="49" spans="1:38" ht="15.75" x14ac:dyDescent="0.25">
      <c r="A49" s="3" t="s">
        <v>18</v>
      </c>
      <c r="B49" s="2" t="s">
        <v>154</v>
      </c>
      <c r="C49" s="64" t="s">
        <v>161</v>
      </c>
      <c r="D49" s="149">
        <v>0</v>
      </c>
      <c r="E49" s="149">
        <v>0</v>
      </c>
      <c r="F49" s="149">
        <v>1</v>
      </c>
      <c r="G49" s="149">
        <v>0</v>
      </c>
      <c r="H49" s="149">
        <v>0</v>
      </c>
      <c r="I49" s="149">
        <v>0</v>
      </c>
      <c r="J49" s="125">
        <f t="shared" si="1"/>
        <v>1</v>
      </c>
      <c r="K49" s="75"/>
      <c r="L49" s="135">
        <f t="shared" si="12"/>
        <v>1</v>
      </c>
      <c r="M49" s="25">
        <f t="shared" si="3"/>
        <v>0</v>
      </c>
      <c r="N49" s="25"/>
      <c r="O49" s="135">
        <f t="shared" si="4"/>
        <v>0</v>
      </c>
      <c r="P49" s="127">
        <f t="shared" si="5"/>
        <v>1</v>
      </c>
      <c r="Q49" s="25">
        <f t="shared" si="6"/>
        <v>0</v>
      </c>
      <c r="R49" s="135"/>
      <c r="S49" s="25"/>
      <c r="T49" s="3" t="s">
        <v>18</v>
      </c>
      <c r="U49" s="2" t="s">
        <v>154</v>
      </c>
      <c r="V49" s="64" t="s">
        <v>161</v>
      </c>
      <c r="W49" s="64" t="s">
        <v>161</v>
      </c>
      <c r="X49" s="149">
        <v>0</v>
      </c>
      <c r="Y49" s="149">
        <v>2</v>
      </c>
      <c r="Z49" s="148">
        <v>0</v>
      </c>
      <c r="AA49" s="148">
        <v>0</v>
      </c>
      <c r="AB49" s="149">
        <v>0</v>
      </c>
      <c r="AC49" s="149">
        <v>0</v>
      </c>
      <c r="AD49" s="125">
        <f t="shared" si="7"/>
        <v>2</v>
      </c>
      <c r="AE49" s="25"/>
      <c r="AF49" s="60">
        <f t="shared" si="13"/>
        <v>2</v>
      </c>
      <c r="AG49" s="60">
        <f t="shared" si="8"/>
        <v>0</v>
      </c>
      <c r="AI49" s="135">
        <f t="shared" si="9"/>
        <v>2</v>
      </c>
      <c r="AJ49" s="60">
        <f t="shared" si="10"/>
        <v>0</v>
      </c>
      <c r="AK49" s="168">
        <f t="shared" si="11"/>
        <v>0</v>
      </c>
      <c r="AL49" s="25"/>
    </row>
    <row r="50" spans="1:38" ht="15.75" x14ac:dyDescent="0.25">
      <c r="A50" s="3" t="s">
        <v>18</v>
      </c>
      <c r="B50" s="2" t="s">
        <v>139</v>
      </c>
      <c r="C50" s="64" t="s">
        <v>337</v>
      </c>
      <c r="D50" s="148">
        <v>0</v>
      </c>
      <c r="E50" s="11">
        <v>0</v>
      </c>
      <c r="F50" s="11">
        <v>1</v>
      </c>
      <c r="G50" s="11">
        <v>4</v>
      </c>
      <c r="H50" s="11">
        <v>0</v>
      </c>
      <c r="I50" s="11">
        <v>0</v>
      </c>
      <c r="J50" s="125">
        <f t="shared" si="1"/>
        <v>5</v>
      </c>
      <c r="K50" s="25"/>
      <c r="L50" s="135">
        <f t="shared" si="12"/>
        <v>1</v>
      </c>
      <c r="M50" s="25">
        <f t="shared" si="3"/>
        <v>4</v>
      </c>
      <c r="N50" s="25"/>
      <c r="O50" s="135">
        <f t="shared" si="4"/>
        <v>0</v>
      </c>
      <c r="P50" s="127">
        <f t="shared" si="5"/>
        <v>5</v>
      </c>
      <c r="Q50" s="25">
        <f t="shared" si="6"/>
        <v>0</v>
      </c>
      <c r="R50" s="135"/>
      <c r="S50" s="25"/>
      <c r="T50" s="138" t="s">
        <v>18</v>
      </c>
      <c r="U50" s="146" t="s">
        <v>139</v>
      </c>
      <c r="V50" s="150" t="s">
        <v>337</v>
      </c>
      <c r="W50" s="150" t="s">
        <v>337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52">
        <f t="shared" si="7"/>
        <v>0</v>
      </c>
      <c r="AE50" s="25"/>
      <c r="AF50" s="60">
        <f t="shared" si="13"/>
        <v>0</v>
      </c>
      <c r="AG50" s="60">
        <f t="shared" si="8"/>
        <v>0</v>
      </c>
      <c r="AI50" s="135">
        <f t="shared" si="9"/>
        <v>0</v>
      </c>
      <c r="AJ50" s="60">
        <f t="shared" si="10"/>
        <v>0</v>
      </c>
      <c r="AK50" s="168">
        <f t="shared" si="11"/>
        <v>0</v>
      </c>
      <c r="AL50" s="25"/>
    </row>
    <row r="51" spans="1:38" ht="15.75" x14ac:dyDescent="0.25">
      <c r="A51" s="3" t="s">
        <v>18</v>
      </c>
      <c r="B51" s="2" t="s">
        <v>139</v>
      </c>
      <c r="C51" s="64" t="s">
        <v>140</v>
      </c>
      <c r="D51" s="148">
        <v>2</v>
      </c>
      <c r="E51" s="148">
        <v>0</v>
      </c>
      <c r="F51" s="148">
        <v>1</v>
      </c>
      <c r="G51" s="148">
        <v>0</v>
      </c>
      <c r="H51" s="148">
        <v>2</v>
      </c>
      <c r="I51" s="148">
        <v>5</v>
      </c>
      <c r="J51" s="125">
        <f t="shared" si="1"/>
        <v>10</v>
      </c>
      <c r="K51" s="75"/>
      <c r="L51" s="135">
        <f t="shared" si="12"/>
        <v>3</v>
      </c>
      <c r="M51" s="25">
        <f t="shared" si="3"/>
        <v>7</v>
      </c>
      <c r="N51" s="25"/>
      <c r="O51" s="135">
        <f t="shared" si="4"/>
        <v>2</v>
      </c>
      <c r="P51" s="127">
        <f t="shared" si="5"/>
        <v>1</v>
      </c>
      <c r="Q51" s="25">
        <f t="shared" si="6"/>
        <v>7</v>
      </c>
      <c r="R51" s="135"/>
      <c r="S51" s="25"/>
      <c r="T51" s="3" t="s">
        <v>18</v>
      </c>
      <c r="U51" s="2" t="s">
        <v>139</v>
      </c>
      <c r="V51" s="64" t="s">
        <v>140</v>
      </c>
      <c r="W51" s="64" t="s">
        <v>140</v>
      </c>
      <c r="X51" s="148">
        <v>1</v>
      </c>
      <c r="Y51" s="148">
        <v>0</v>
      </c>
      <c r="Z51" s="148">
        <v>0</v>
      </c>
      <c r="AA51" s="148">
        <v>1</v>
      </c>
      <c r="AB51" s="148">
        <v>3</v>
      </c>
      <c r="AC51" s="148">
        <v>0</v>
      </c>
      <c r="AD51" s="125">
        <f t="shared" si="7"/>
        <v>5</v>
      </c>
      <c r="AE51" s="25"/>
      <c r="AF51" s="60">
        <f t="shared" si="13"/>
        <v>1</v>
      </c>
      <c r="AG51" s="60">
        <f t="shared" si="8"/>
        <v>4</v>
      </c>
      <c r="AI51" s="135">
        <f t="shared" si="9"/>
        <v>1</v>
      </c>
      <c r="AJ51" s="60">
        <f t="shared" si="10"/>
        <v>1</v>
      </c>
      <c r="AK51" s="168">
        <f t="shared" si="11"/>
        <v>3</v>
      </c>
      <c r="AL51" s="25"/>
    </row>
    <row r="52" spans="1:38" ht="15.75" x14ac:dyDescent="0.25">
      <c r="A52" s="3" t="s">
        <v>18</v>
      </c>
      <c r="B52" s="2" t="s">
        <v>139</v>
      </c>
      <c r="C52" s="64" t="s">
        <v>147</v>
      </c>
      <c r="D52" s="148">
        <v>0</v>
      </c>
      <c r="E52" s="148">
        <v>0</v>
      </c>
      <c r="F52" s="148">
        <v>0</v>
      </c>
      <c r="G52" s="148">
        <v>1</v>
      </c>
      <c r="H52" s="148">
        <v>0</v>
      </c>
      <c r="I52" s="148">
        <v>1</v>
      </c>
      <c r="J52" s="125">
        <f t="shared" si="1"/>
        <v>2</v>
      </c>
      <c r="K52" s="75"/>
      <c r="L52" s="135">
        <f t="shared" si="12"/>
        <v>0</v>
      </c>
      <c r="M52" s="25">
        <f t="shared" si="3"/>
        <v>2</v>
      </c>
      <c r="N52" s="25"/>
      <c r="O52" s="135">
        <f t="shared" si="4"/>
        <v>0</v>
      </c>
      <c r="P52" s="127">
        <f t="shared" si="5"/>
        <v>1</v>
      </c>
      <c r="Q52" s="25">
        <f t="shared" si="6"/>
        <v>1</v>
      </c>
      <c r="R52" s="135"/>
      <c r="S52" s="25"/>
      <c r="T52" s="3" t="s">
        <v>18</v>
      </c>
      <c r="U52" s="2" t="s">
        <v>139</v>
      </c>
      <c r="V52" s="64" t="s">
        <v>147</v>
      </c>
      <c r="W52" s="64" t="s">
        <v>147</v>
      </c>
      <c r="X52" s="148">
        <v>0</v>
      </c>
      <c r="Y52" s="148">
        <v>0</v>
      </c>
      <c r="Z52" s="148">
        <v>0</v>
      </c>
      <c r="AA52" s="148">
        <v>0</v>
      </c>
      <c r="AB52" s="148">
        <v>1</v>
      </c>
      <c r="AC52" s="148">
        <v>0</v>
      </c>
      <c r="AD52" s="125">
        <f t="shared" si="7"/>
        <v>1</v>
      </c>
      <c r="AE52" s="25"/>
      <c r="AF52" s="60">
        <f t="shared" si="13"/>
        <v>0</v>
      </c>
      <c r="AG52" s="60">
        <f t="shared" si="8"/>
        <v>1</v>
      </c>
      <c r="AI52" s="135">
        <f t="shared" si="9"/>
        <v>0</v>
      </c>
      <c r="AJ52" s="60">
        <f t="shared" si="10"/>
        <v>0</v>
      </c>
      <c r="AK52" s="168">
        <f t="shared" si="11"/>
        <v>1</v>
      </c>
      <c r="AL52" s="25"/>
    </row>
    <row r="53" spans="1:38" ht="15.75" x14ac:dyDescent="0.25">
      <c r="A53" s="3" t="s">
        <v>18</v>
      </c>
      <c r="B53" s="2" t="s">
        <v>139</v>
      </c>
      <c r="C53" s="3" t="s">
        <v>338</v>
      </c>
      <c r="D53" s="160">
        <v>0</v>
      </c>
      <c r="E53" s="148">
        <v>0</v>
      </c>
      <c r="F53" s="148">
        <v>0</v>
      </c>
      <c r="G53" s="148">
        <v>0</v>
      </c>
      <c r="H53" s="148">
        <v>0</v>
      </c>
      <c r="I53" s="148">
        <v>1</v>
      </c>
      <c r="J53" s="125">
        <f t="shared" si="1"/>
        <v>1</v>
      </c>
      <c r="K53" s="75"/>
      <c r="L53" s="135">
        <f t="shared" si="12"/>
        <v>0</v>
      </c>
      <c r="M53" s="25">
        <f t="shared" si="3"/>
        <v>1</v>
      </c>
      <c r="N53" s="25"/>
      <c r="O53" s="135">
        <f t="shared" si="4"/>
        <v>0</v>
      </c>
      <c r="P53" s="127">
        <f t="shared" si="5"/>
        <v>0</v>
      </c>
      <c r="Q53" s="25">
        <f t="shared" si="6"/>
        <v>1</v>
      </c>
      <c r="R53" s="135"/>
      <c r="S53" s="25"/>
      <c r="T53" s="138" t="s">
        <v>18</v>
      </c>
      <c r="U53" s="146" t="s">
        <v>139</v>
      </c>
      <c r="V53" s="138" t="s">
        <v>338</v>
      </c>
      <c r="W53" s="138" t="s">
        <v>338</v>
      </c>
      <c r="X53" s="151">
        <v>0</v>
      </c>
      <c r="Y53" s="151">
        <v>0</v>
      </c>
      <c r="Z53" s="151">
        <v>0</v>
      </c>
      <c r="AA53" s="151">
        <v>0</v>
      </c>
      <c r="AB53" s="151">
        <v>0</v>
      </c>
      <c r="AC53" s="151">
        <v>0</v>
      </c>
      <c r="AD53" s="125">
        <f t="shared" si="7"/>
        <v>0</v>
      </c>
      <c r="AE53" s="25"/>
      <c r="AF53" s="60">
        <f t="shared" si="13"/>
        <v>0</v>
      </c>
      <c r="AG53" s="60">
        <f t="shared" si="8"/>
        <v>0</v>
      </c>
      <c r="AI53" s="135">
        <f t="shared" si="9"/>
        <v>0</v>
      </c>
      <c r="AJ53" s="60">
        <f t="shared" si="10"/>
        <v>0</v>
      </c>
      <c r="AK53" s="168">
        <f t="shared" si="11"/>
        <v>0</v>
      </c>
      <c r="AL53" s="25"/>
    </row>
    <row r="54" spans="1:38" ht="15.75" x14ac:dyDescent="0.25">
      <c r="A54" s="3" t="s">
        <v>18</v>
      </c>
      <c r="B54" s="146" t="s">
        <v>139</v>
      </c>
      <c r="C54" s="150" t="s">
        <v>150</v>
      </c>
      <c r="D54" s="151">
        <v>0</v>
      </c>
      <c r="E54" s="151">
        <v>0</v>
      </c>
      <c r="F54" s="151">
        <v>0</v>
      </c>
      <c r="G54" s="151">
        <v>0</v>
      </c>
      <c r="H54" s="151">
        <v>0</v>
      </c>
      <c r="I54" s="151">
        <v>0</v>
      </c>
      <c r="J54" s="152">
        <f t="shared" si="1"/>
        <v>0</v>
      </c>
      <c r="K54" s="75"/>
      <c r="L54" s="135">
        <f t="shared" si="12"/>
        <v>0</v>
      </c>
      <c r="M54" s="25">
        <f t="shared" si="3"/>
        <v>0</v>
      </c>
      <c r="N54" s="25"/>
      <c r="O54" s="135">
        <f t="shared" si="4"/>
        <v>0</v>
      </c>
      <c r="P54" s="127">
        <f t="shared" si="5"/>
        <v>0</v>
      </c>
      <c r="Q54" s="25">
        <f t="shared" si="6"/>
        <v>0</v>
      </c>
      <c r="R54" s="135"/>
      <c r="S54" s="25"/>
      <c r="T54" s="3" t="s">
        <v>18</v>
      </c>
      <c r="U54" s="2" t="s">
        <v>139</v>
      </c>
      <c r="V54" s="64" t="s">
        <v>150</v>
      </c>
      <c r="W54" s="64" t="s">
        <v>150</v>
      </c>
      <c r="X54" s="148">
        <v>1</v>
      </c>
      <c r="Y54" s="148">
        <v>0</v>
      </c>
      <c r="Z54" s="148">
        <v>0</v>
      </c>
      <c r="AA54" s="148">
        <v>0</v>
      </c>
      <c r="AB54" s="148">
        <v>0</v>
      </c>
      <c r="AC54" s="148">
        <v>0</v>
      </c>
      <c r="AD54" s="125">
        <f t="shared" si="7"/>
        <v>1</v>
      </c>
      <c r="AE54" s="25"/>
      <c r="AF54" s="60">
        <f t="shared" si="13"/>
        <v>1</v>
      </c>
      <c r="AG54" s="60">
        <f t="shared" si="8"/>
        <v>0</v>
      </c>
      <c r="AI54" s="135">
        <f t="shared" si="9"/>
        <v>1</v>
      </c>
      <c r="AJ54" s="60">
        <f t="shared" si="10"/>
        <v>0</v>
      </c>
      <c r="AK54" s="168">
        <f t="shared" si="11"/>
        <v>0</v>
      </c>
      <c r="AL54" s="25"/>
    </row>
    <row r="55" spans="1:38" ht="15.75" x14ac:dyDescent="0.25">
      <c r="A55" s="3" t="s">
        <v>18</v>
      </c>
      <c r="B55" s="3" t="s">
        <v>251</v>
      </c>
      <c r="C55" s="62" t="s">
        <v>252</v>
      </c>
      <c r="D55" s="148">
        <v>1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25">
        <f>SUM(D55:I55)</f>
        <v>1</v>
      </c>
      <c r="K55" s="25"/>
      <c r="L55" s="164">
        <f t="shared" si="12"/>
        <v>1</v>
      </c>
      <c r="M55" s="165">
        <f t="shared" si="3"/>
        <v>0</v>
      </c>
      <c r="N55" s="25"/>
      <c r="O55" s="164">
        <f t="shared" si="4"/>
        <v>1</v>
      </c>
      <c r="P55" s="167">
        <f t="shared" si="5"/>
        <v>0</v>
      </c>
      <c r="Q55" s="165">
        <f t="shared" si="6"/>
        <v>0</v>
      </c>
      <c r="R55" s="135"/>
      <c r="S55" s="25"/>
      <c r="T55" s="138" t="s">
        <v>18</v>
      </c>
      <c r="U55" s="138" t="s">
        <v>251</v>
      </c>
      <c r="V55" s="150" t="s">
        <v>252</v>
      </c>
      <c r="W55" s="150" t="s">
        <v>252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52">
        <f t="shared" si="7"/>
        <v>0</v>
      </c>
      <c r="AE55" s="25"/>
      <c r="AF55" s="60">
        <f t="shared" si="13"/>
        <v>0</v>
      </c>
      <c r="AG55" s="60">
        <f t="shared" si="8"/>
        <v>0</v>
      </c>
      <c r="AI55" s="164">
        <f t="shared" si="9"/>
        <v>0</v>
      </c>
      <c r="AJ55" s="60">
        <f t="shared" si="10"/>
        <v>0</v>
      </c>
      <c r="AK55" s="168">
        <f t="shared" si="11"/>
        <v>0</v>
      </c>
      <c r="AL55" s="25"/>
    </row>
    <row r="56" spans="1:38" x14ac:dyDescent="0.25">
      <c r="L56" s="134">
        <f>SUM(L3:L55)</f>
        <v>62</v>
      </c>
      <c r="M56" s="25">
        <f>SUM(M3:M55)</f>
        <v>98</v>
      </c>
      <c r="O56" s="134">
        <f>SUM(O3:O55)</f>
        <v>24</v>
      </c>
      <c r="P56" s="166">
        <f>SUM(P3:P55)</f>
        <v>87</v>
      </c>
      <c r="Q56" s="25">
        <f>SUM(Q3:Q55)</f>
        <v>49</v>
      </c>
      <c r="AF56" s="135">
        <f>SUM(AF3:AF55)</f>
        <v>77</v>
      </c>
      <c r="AG56" s="135">
        <f>SUM(AG3:AG55)</f>
        <v>38</v>
      </c>
      <c r="AI56" s="169">
        <f>SUM(AI3:AI55)</f>
        <v>74</v>
      </c>
      <c r="AJ56" s="170">
        <f>SUM(AJ3:AJ55)</f>
        <v>10</v>
      </c>
      <c r="AK56" s="170">
        <f>SUM(AK3:AK55)</f>
        <v>31</v>
      </c>
    </row>
    <row r="57" spans="1:38" x14ac:dyDescent="0.25">
      <c r="D57" s="161">
        <f t="shared" ref="D57:J57" si="14">SUM(D3:D55)</f>
        <v>13</v>
      </c>
      <c r="E57" s="161">
        <f t="shared" si="14"/>
        <v>11</v>
      </c>
      <c r="F57" s="161">
        <f t="shared" si="14"/>
        <v>38</v>
      </c>
      <c r="G57" s="161">
        <f t="shared" si="14"/>
        <v>49</v>
      </c>
      <c r="H57" s="161">
        <f t="shared" si="14"/>
        <v>16</v>
      </c>
      <c r="I57" s="161">
        <f t="shared" si="14"/>
        <v>33</v>
      </c>
      <c r="J57" s="211">
        <f t="shared" si="14"/>
        <v>160</v>
      </c>
      <c r="X57" s="161">
        <f t="shared" ref="X57:AD57" si="15">SUM(X3:X55)</f>
        <v>18</v>
      </c>
      <c r="Y57" s="161">
        <f t="shared" si="15"/>
        <v>56</v>
      </c>
      <c r="Z57" s="161">
        <f t="shared" si="15"/>
        <v>3</v>
      </c>
      <c r="AA57" s="161">
        <f t="shared" si="15"/>
        <v>7</v>
      </c>
      <c r="AB57" s="161">
        <f t="shared" si="15"/>
        <v>16</v>
      </c>
      <c r="AC57" s="161">
        <f t="shared" si="15"/>
        <v>15</v>
      </c>
      <c r="AD57" s="211">
        <f t="shared" si="15"/>
        <v>115</v>
      </c>
    </row>
    <row r="58" spans="1:38" x14ac:dyDescent="0.25">
      <c r="B58" t="s">
        <v>328</v>
      </c>
      <c r="D58"/>
      <c r="U58" t="s">
        <v>328</v>
      </c>
    </row>
    <row r="59" spans="1:38" x14ac:dyDescent="0.25">
      <c r="B59" s="161">
        <v>110</v>
      </c>
      <c r="U59" s="161">
        <v>46</v>
      </c>
    </row>
    <row r="60" spans="1:38" x14ac:dyDescent="0.25">
      <c r="B60" s="272" t="s">
        <v>597</v>
      </c>
    </row>
  </sheetData>
  <pageMargins left="0.7" right="0.7" top="0.75" bottom="0.75" header="0.3" footer="0.3"/>
  <ignoredErrors>
    <ignoredError sqref="AF4:AF55 L4:L55 AF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3C98-EF36-4772-A7F2-9D60FBF9F89F}">
  <dimension ref="B1:J40"/>
  <sheetViews>
    <sheetView workbookViewId="0">
      <selection activeCell="C3" sqref="C3:C35"/>
    </sheetView>
  </sheetViews>
  <sheetFormatPr baseColWidth="10" defaultRowHeight="15" x14ac:dyDescent="0.25"/>
  <cols>
    <col min="3" max="3" width="22.140625" customWidth="1"/>
    <col min="4" max="4" width="7" style="26" customWidth="1"/>
    <col min="5" max="5" width="11.42578125" style="26"/>
    <col min="8" max="8" width="24" customWidth="1"/>
    <col min="9" max="9" width="6.7109375" style="26" customWidth="1"/>
    <col min="10" max="10" width="11.42578125" style="26"/>
  </cols>
  <sheetData>
    <row r="1" spans="2:10" ht="24.75" customHeight="1" x14ac:dyDescent="0.25">
      <c r="D1" s="26" t="s">
        <v>596</v>
      </c>
      <c r="E1" s="26">
        <v>264</v>
      </c>
      <c r="G1" s="26"/>
      <c r="I1" s="26" t="s">
        <v>596</v>
      </c>
      <c r="J1" s="26">
        <v>157</v>
      </c>
    </row>
    <row r="2" spans="2:10" x14ac:dyDescent="0.25">
      <c r="C2" s="184" t="s">
        <v>335</v>
      </c>
      <c r="D2" s="67" t="s">
        <v>391</v>
      </c>
      <c r="E2" s="26" t="s">
        <v>595</v>
      </c>
      <c r="G2" s="74"/>
      <c r="H2" s="184" t="s">
        <v>335</v>
      </c>
      <c r="I2" s="67" t="s">
        <v>392</v>
      </c>
      <c r="J2" s="26" t="s">
        <v>595</v>
      </c>
    </row>
    <row r="3" spans="2:10" x14ac:dyDescent="0.25">
      <c r="B3">
        <v>22</v>
      </c>
      <c r="C3" s="23" t="s">
        <v>81</v>
      </c>
      <c r="D3" s="26">
        <v>34</v>
      </c>
      <c r="E3" s="269">
        <v>12.878787878787879</v>
      </c>
      <c r="F3" s="266"/>
      <c r="G3">
        <v>4</v>
      </c>
      <c r="H3" s="23" t="s">
        <v>200</v>
      </c>
      <c r="I3" s="26">
        <v>32</v>
      </c>
      <c r="J3" s="269">
        <f t="shared" ref="J3:J35" si="0">(I3/157)*100</f>
        <v>20.382165605095544</v>
      </c>
    </row>
    <row r="4" spans="2:10" x14ac:dyDescent="0.25">
      <c r="B4">
        <v>16</v>
      </c>
      <c r="C4" s="267" t="s">
        <v>336</v>
      </c>
      <c r="D4" s="26">
        <v>29</v>
      </c>
      <c r="E4" s="269">
        <v>10.984848484848484</v>
      </c>
      <c r="F4" s="266"/>
      <c r="G4">
        <v>6</v>
      </c>
      <c r="H4" s="23" t="s">
        <v>213</v>
      </c>
      <c r="I4" s="26">
        <v>23</v>
      </c>
      <c r="J4" s="269">
        <f t="shared" si="0"/>
        <v>14.64968152866242</v>
      </c>
    </row>
    <row r="5" spans="2:10" x14ac:dyDescent="0.25">
      <c r="B5">
        <v>29</v>
      </c>
      <c r="C5" s="267" t="s">
        <v>139</v>
      </c>
      <c r="D5" s="26">
        <v>28</v>
      </c>
      <c r="E5" s="269">
        <v>10.606060606060606</v>
      </c>
      <c r="F5" s="266"/>
      <c r="G5">
        <v>22</v>
      </c>
      <c r="H5" s="23" t="s">
        <v>81</v>
      </c>
      <c r="I5" s="26">
        <v>15</v>
      </c>
      <c r="J5" s="269">
        <f t="shared" si="0"/>
        <v>9.5541401273885356</v>
      </c>
    </row>
    <row r="6" spans="2:10" x14ac:dyDescent="0.25">
      <c r="B6">
        <v>4</v>
      </c>
      <c r="C6" s="23" t="s">
        <v>200</v>
      </c>
      <c r="D6" s="26">
        <v>26</v>
      </c>
      <c r="E6" s="269">
        <v>9.8484848484848477</v>
      </c>
      <c r="F6" s="266"/>
      <c r="G6">
        <v>5</v>
      </c>
      <c r="H6" s="23" t="s">
        <v>226</v>
      </c>
      <c r="I6" s="26">
        <v>10</v>
      </c>
      <c r="J6" s="269">
        <f t="shared" si="0"/>
        <v>6.369426751592357</v>
      </c>
    </row>
    <row r="7" spans="2:10" x14ac:dyDescent="0.25">
      <c r="B7">
        <v>17</v>
      </c>
      <c r="C7" s="23" t="s">
        <v>127</v>
      </c>
      <c r="D7" s="26">
        <v>21</v>
      </c>
      <c r="E7" s="269">
        <v>7.9545454545454541</v>
      </c>
      <c r="F7" s="266"/>
      <c r="G7">
        <v>25</v>
      </c>
      <c r="H7" s="267" t="s">
        <v>113</v>
      </c>
      <c r="I7" s="26">
        <v>10</v>
      </c>
      <c r="J7" s="269">
        <f t="shared" si="0"/>
        <v>6.369426751592357</v>
      </c>
    </row>
    <row r="8" spans="2:10" x14ac:dyDescent="0.25">
      <c r="B8">
        <v>5</v>
      </c>
      <c r="C8" s="23" t="s">
        <v>226</v>
      </c>
      <c r="D8" s="26">
        <v>18</v>
      </c>
      <c r="E8" s="269">
        <v>6.8181818181818175</v>
      </c>
      <c r="F8" s="266"/>
      <c r="G8">
        <v>29</v>
      </c>
      <c r="H8" s="267" t="s">
        <v>139</v>
      </c>
      <c r="I8" s="26">
        <v>9</v>
      </c>
      <c r="J8" s="269">
        <f t="shared" si="0"/>
        <v>5.7324840764331215</v>
      </c>
    </row>
    <row r="9" spans="2:10" x14ac:dyDescent="0.25">
      <c r="B9">
        <v>19</v>
      </c>
      <c r="C9" s="267" t="s">
        <v>61</v>
      </c>
      <c r="D9" s="26">
        <v>17</v>
      </c>
      <c r="E9" s="269">
        <v>6.4393939393939394</v>
      </c>
      <c r="F9" s="266"/>
      <c r="G9">
        <v>28</v>
      </c>
      <c r="H9" s="267" t="s">
        <v>154</v>
      </c>
      <c r="I9" s="26">
        <v>6</v>
      </c>
      <c r="J9" s="269">
        <f t="shared" si="0"/>
        <v>3.8216560509554141</v>
      </c>
    </row>
    <row r="10" spans="2:10" x14ac:dyDescent="0.25">
      <c r="B10">
        <v>6</v>
      </c>
      <c r="C10" s="23" t="s">
        <v>213</v>
      </c>
      <c r="D10" s="26">
        <v>13</v>
      </c>
      <c r="E10" s="269">
        <v>4.9242424242424239</v>
      </c>
      <c r="F10" s="266"/>
      <c r="G10">
        <v>3</v>
      </c>
      <c r="H10" s="23" t="s">
        <v>191</v>
      </c>
      <c r="I10" s="26">
        <v>5</v>
      </c>
      <c r="J10" s="269">
        <f t="shared" si="0"/>
        <v>3.1847133757961785</v>
      </c>
    </row>
    <row r="11" spans="2:10" x14ac:dyDescent="0.25">
      <c r="B11">
        <v>25</v>
      </c>
      <c r="C11" s="267" t="s">
        <v>113</v>
      </c>
      <c r="D11" s="26">
        <v>13</v>
      </c>
      <c r="E11" s="269">
        <v>4.9242424242424239</v>
      </c>
      <c r="F11" s="266"/>
      <c r="G11">
        <v>8</v>
      </c>
      <c r="H11" s="23" t="s">
        <v>331</v>
      </c>
      <c r="I11" s="26">
        <v>5</v>
      </c>
      <c r="J11" s="269">
        <f t="shared" si="0"/>
        <v>3.1847133757961785</v>
      </c>
    </row>
    <row r="12" spans="2:10" x14ac:dyDescent="0.25">
      <c r="B12">
        <v>1</v>
      </c>
      <c r="C12" s="23" t="s">
        <v>177</v>
      </c>
      <c r="D12" s="26">
        <v>11</v>
      </c>
      <c r="E12" s="269">
        <v>4.1666666666666661</v>
      </c>
      <c r="F12" s="266"/>
      <c r="G12">
        <v>12</v>
      </c>
      <c r="H12" s="267" t="s">
        <v>24</v>
      </c>
      <c r="I12" s="26">
        <v>5</v>
      </c>
      <c r="J12" s="269">
        <f t="shared" si="0"/>
        <v>3.1847133757961785</v>
      </c>
    </row>
    <row r="13" spans="2:10" x14ac:dyDescent="0.25">
      <c r="B13">
        <v>3</v>
      </c>
      <c r="C13" s="23" t="s">
        <v>191</v>
      </c>
      <c r="D13" s="26">
        <v>7</v>
      </c>
      <c r="E13" s="269">
        <v>2.6515151515151514</v>
      </c>
      <c r="F13" s="266"/>
      <c r="G13">
        <v>19</v>
      </c>
      <c r="H13" s="267" t="s">
        <v>61</v>
      </c>
      <c r="I13" s="26">
        <v>5</v>
      </c>
      <c r="J13" s="269">
        <f t="shared" si="0"/>
        <v>3.1847133757961785</v>
      </c>
    </row>
    <row r="14" spans="2:10" x14ac:dyDescent="0.25">
      <c r="B14">
        <v>20</v>
      </c>
      <c r="C14" s="23" t="s">
        <v>136</v>
      </c>
      <c r="D14" s="26">
        <v>6</v>
      </c>
      <c r="E14" s="269">
        <v>2.2727272727272729</v>
      </c>
      <c r="F14" s="266"/>
      <c r="G14">
        <v>2</v>
      </c>
      <c r="H14" s="270" t="s">
        <v>220</v>
      </c>
      <c r="I14" s="26">
        <v>4</v>
      </c>
      <c r="J14" s="269">
        <f t="shared" si="0"/>
        <v>2.547770700636943</v>
      </c>
    </row>
    <row r="15" spans="2:10" x14ac:dyDescent="0.25">
      <c r="B15">
        <v>23</v>
      </c>
      <c r="C15" s="267" t="s">
        <v>105</v>
      </c>
      <c r="D15" s="26">
        <v>6</v>
      </c>
      <c r="E15" s="269">
        <v>2.2727272727272729</v>
      </c>
      <c r="F15" s="266"/>
      <c r="G15">
        <v>16</v>
      </c>
      <c r="H15" s="267" t="s">
        <v>336</v>
      </c>
      <c r="I15" s="26">
        <v>4</v>
      </c>
      <c r="J15" s="269">
        <f t="shared" si="0"/>
        <v>2.547770700636943</v>
      </c>
    </row>
    <row r="16" spans="2:10" x14ac:dyDescent="0.25">
      <c r="B16">
        <v>26</v>
      </c>
      <c r="C16" s="23" t="s">
        <v>38</v>
      </c>
      <c r="D16" s="26">
        <v>5</v>
      </c>
      <c r="E16" s="269">
        <v>1.893939393939394</v>
      </c>
      <c r="F16" s="266"/>
      <c r="G16">
        <v>30</v>
      </c>
      <c r="H16" s="23" t="s">
        <v>164</v>
      </c>
      <c r="I16" s="26">
        <v>4</v>
      </c>
      <c r="J16" s="269">
        <f t="shared" si="0"/>
        <v>2.547770700636943</v>
      </c>
    </row>
    <row r="17" spans="2:10" x14ac:dyDescent="0.25">
      <c r="B17">
        <v>30</v>
      </c>
      <c r="C17" s="23" t="s">
        <v>164</v>
      </c>
      <c r="D17" s="26">
        <v>4</v>
      </c>
      <c r="E17" s="269">
        <v>1.5151515151515151</v>
      </c>
      <c r="F17" s="266"/>
      <c r="G17">
        <v>32</v>
      </c>
      <c r="H17" s="267" t="s">
        <v>168</v>
      </c>
      <c r="I17" s="26">
        <v>4</v>
      </c>
      <c r="J17" s="269">
        <f t="shared" si="0"/>
        <v>2.547770700636943</v>
      </c>
    </row>
    <row r="18" spans="2:10" x14ac:dyDescent="0.25">
      <c r="B18">
        <v>31</v>
      </c>
      <c r="C18" s="267" t="s">
        <v>171</v>
      </c>
      <c r="D18" s="26">
        <v>4</v>
      </c>
      <c r="E18" s="269">
        <v>1.5151515151515151</v>
      </c>
      <c r="F18" s="266"/>
      <c r="G18">
        <v>15</v>
      </c>
      <c r="H18" s="23" t="s">
        <v>329</v>
      </c>
      <c r="I18" s="26">
        <v>3</v>
      </c>
      <c r="J18" s="269">
        <f t="shared" si="0"/>
        <v>1.910828025477707</v>
      </c>
    </row>
    <row r="19" spans="2:10" x14ac:dyDescent="0.25">
      <c r="B19">
        <v>27</v>
      </c>
      <c r="C19" s="23" t="s">
        <v>20</v>
      </c>
      <c r="D19" s="26">
        <v>3</v>
      </c>
      <c r="E19" s="269">
        <v>1.1363636363636365</v>
      </c>
      <c r="F19" s="266"/>
      <c r="G19">
        <v>18</v>
      </c>
      <c r="H19" s="23" t="s">
        <v>56</v>
      </c>
      <c r="I19" s="26">
        <v>3</v>
      </c>
      <c r="J19" s="269">
        <f t="shared" si="0"/>
        <v>1.910828025477707</v>
      </c>
    </row>
    <row r="20" spans="2:10" x14ac:dyDescent="0.25">
      <c r="B20">
        <v>8</v>
      </c>
      <c r="C20" s="23" t="s">
        <v>331</v>
      </c>
      <c r="D20" s="26">
        <v>2</v>
      </c>
      <c r="E20" s="269">
        <v>0.75757575757575757</v>
      </c>
      <c r="F20" s="266"/>
      <c r="G20">
        <v>23</v>
      </c>
      <c r="H20" s="267" t="s">
        <v>105</v>
      </c>
      <c r="I20" s="26">
        <v>3</v>
      </c>
      <c r="J20" s="269">
        <f t="shared" si="0"/>
        <v>1.910828025477707</v>
      </c>
    </row>
    <row r="21" spans="2:10" x14ac:dyDescent="0.25">
      <c r="B21">
        <v>18</v>
      </c>
      <c r="C21" s="23" t="s">
        <v>56</v>
      </c>
      <c r="D21" s="26">
        <v>2</v>
      </c>
      <c r="E21" s="269">
        <v>0.75757575757575757</v>
      </c>
      <c r="F21" s="266"/>
      <c r="G21">
        <v>1</v>
      </c>
      <c r="H21" s="23" t="s">
        <v>177</v>
      </c>
      <c r="I21" s="26">
        <v>2</v>
      </c>
      <c r="J21" s="269">
        <f t="shared" si="0"/>
        <v>1.2738853503184715</v>
      </c>
    </row>
    <row r="22" spans="2:10" x14ac:dyDescent="0.25">
      <c r="B22">
        <v>24</v>
      </c>
      <c r="C22" s="23" t="s">
        <v>330</v>
      </c>
      <c r="D22" s="26">
        <v>2</v>
      </c>
      <c r="E22" s="269">
        <v>0.75757575757575757</v>
      </c>
      <c r="F22" s="266"/>
      <c r="G22">
        <v>7</v>
      </c>
      <c r="H22" s="23" t="s">
        <v>187</v>
      </c>
      <c r="I22" s="26">
        <v>2</v>
      </c>
      <c r="J22" s="269">
        <f t="shared" si="0"/>
        <v>1.2738853503184715</v>
      </c>
    </row>
    <row r="23" spans="2:10" x14ac:dyDescent="0.25">
      <c r="B23">
        <v>28</v>
      </c>
      <c r="C23" s="267" t="s">
        <v>154</v>
      </c>
      <c r="D23" s="26">
        <v>2</v>
      </c>
      <c r="E23" s="269">
        <v>0.75757575757575757</v>
      </c>
      <c r="F23" s="266"/>
      <c r="G23">
        <v>13</v>
      </c>
      <c r="H23" s="267" t="s">
        <v>270</v>
      </c>
      <c r="I23" s="26">
        <v>1</v>
      </c>
      <c r="J23" s="269">
        <f t="shared" si="0"/>
        <v>0.63694267515923575</v>
      </c>
    </row>
    <row r="24" spans="2:10" x14ac:dyDescent="0.25">
      <c r="B24">
        <v>32</v>
      </c>
      <c r="C24" s="267" t="s">
        <v>168</v>
      </c>
      <c r="D24" s="26">
        <v>2</v>
      </c>
      <c r="E24" s="269">
        <v>0.75757575757575757</v>
      </c>
      <c r="F24" s="266"/>
      <c r="G24">
        <v>17</v>
      </c>
      <c r="H24" s="23" t="s">
        <v>127</v>
      </c>
      <c r="I24" s="26">
        <v>1</v>
      </c>
      <c r="J24" s="269">
        <f t="shared" si="0"/>
        <v>0.63694267515923575</v>
      </c>
    </row>
    <row r="25" spans="2:10" x14ac:dyDescent="0.25">
      <c r="B25">
        <v>33</v>
      </c>
      <c r="C25" s="271" t="s">
        <v>271</v>
      </c>
      <c r="D25" s="26">
        <v>2</v>
      </c>
      <c r="E25" s="269">
        <v>0.75757575757575757</v>
      </c>
      <c r="F25" s="266"/>
      <c r="G25">
        <v>31</v>
      </c>
      <c r="H25" s="267" t="s">
        <v>171</v>
      </c>
      <c r="I25" s="26">
        <v>1</v>
      </c>
      <c r="J25" s="269">
        <f t="shared" si="0"/>
        <v>0.63694267515923575</v>
      </c>
    </row>
    <row r="26" spans="2:10" x14ac:dyDescent="0.25">
      <c r="B26">
        <v>2</v>
      </c>
      <c r="C26" s="270" t="s">
        <v>220</v>
      </c>
      <c r="D26" s="26">
        <v>1</v>
      </c>
      <c r="E26" s="269">
        <v>0.37878787878787878</v>
      </c>
      <c r="F26" s="266"/>
      <c r="G26">
        <v>9</v>
      </c>
      <c r="H26" s="23" t="s">
        <v>251</v>
      </c>
      <c r="I26" s="26">
        <v>0</v>
      </c>
      <c r="J26" s="269">
        <f t="shared" si="0"/>
        <v>0</v>
      </c>
    </row>
    <row r="27" spans="2:10" x14ac:dyDescent="0.25">
      <c r="B27">
        <v>9</v>
      </c>
      <c r="C27" s="23" t="s">
        <v>251</v>
      </c>
      <c r="D27" s="26">
        <v>1</v>
      </c>
      <c r="E27" s="269">
        <v>0.37878787878787878</v>
      </c>
      <c r="F27" s="266"/>
      <c r="G27">
        <v>10</v>
      </c>
      <c r="H27" s="23" t="s">
        <v>291</v>
      </c>
      <c r="I27" s="26">
        <v>0</v>
      </c>
      <c r="J27" s="269">
        <f t="shared" si="0"/>
        <v>0</v>
      </c>
    </row>
    <row r="28" spans="2:10" x14ac:dyDescent="0.25">
      <c r="B28">
        <v>10</v>
      </c>
      <c r="C28" s="23" t="s">
        <v>291</v>
      </c>
      <c r="D28" s="26">
        <v>1</v>
      </c>
      <c r="E28" s="269">
        <v>0.37878787878787878</v>
      </c>
      <c r="F28" s="266"/>
      <c r="G28">
        <v>11</v>
      </c>
      <c r="H28" s="23" t="s">
        <v>299</v>
      </c>
      <c r="I28" s="26">
        <v>0</v>
      </c>
      <c r="J28" s="269">
        <f t="shared" si="0"/>
        <v>0</v>
      </c>
    </row>
    <row r="29" spans="2:10" x14ac:dyDescent="0.25">
      <c r="B29">
        <v>11</v>
      </c>
      <c r="C29" s="23" t="s">
        <v>299</v>
      </c>
      <c r="D29" s="26">
        <v>1</v>
      </c>
      <c r="E29" s="269">
        <v>0.37878787878787878</v>
      </c>
      <c r="F29" s="266"/>
      <c r="G29">
        <v>14</v>
      </c>
      <c r="H29" s="267" t="s">
        <v>249</v>
      </c>
      <c r="I29" s="26">
        <v>0</v>
      </c>
      <c r="J29" s="269">
        <f t="shared" si="0"/>
        <v>0</v>
      </c>
    </row>
    <row r="30" spans="2:10" x14ac:dyDescent="0.25">
      <c r="B30">
        <v>12</v>
      </c>
      <c r="C30" s="267" t="s">
        <v>24</v>
      </c>
      <c r="D30" s="26">
        <v>1</v>
      </c>
      <c r="E30" s="269">
        <v>0.37878787878787878</v>
      </c>
      <c r="F30" s="266"/>
      <c r="G30">
        <v>20</v>
      </c>
      <c r="H30" s="23" t="s">
        <v>136</v>
      </c>
      <c r="I30" s="26">
        <v>0</v>
      </c>
      <c r="J30" s="269">
        <f t="shared" si="0"/>
        <v>0</v>
      </c>
    </row>
    <row r="31" spans="2:10" x14ac:dyDescent="0.25">
      <c r="B31">
        <v>14</v>
      </c>
      <c r="C31" s="267" t="s">
        <v>249</v>
      </c>
      <c r="D31" s="26">
        <v>1</v>
      </c>
      <c r="E31" s="269">
        <v>0.37878787878787878</v>
      </c>
      <c r="F31" s="266"/>
      <c r="G31">
        <v>21</v>
      </c>
      <c r="H31" s="23" t="s">
        <v>305</v>
      </c>
      <c r="I31" s="26">
        <v>0</v>
      </c>
      <c r="J31" s="269">
        <f t="shared" si="0"/>
        <v>0</v>
      </c>
    </row>
    <row r="32" spans="2:10" x14ac:dyDescent="0.25">
      <c r="B32">
        <v>21</v>
      </c>
      <c r="C32" s="23" t="s">
        <v>305</v>
      </c>
      <c r="D32" s="26">
        <v>1</v>
      </c>
      <c r="E32" s="269">
        <v>0.37878787878787878</v>
      </c>
      <c r="F32" s="266"/>
      <c r="G32">
        <v>24</v>
      </c>
      <c r="H32" s="23" t="s">
        <v>330</v>
      </c>
      <c r="I32" s="26">
        <v>0</v>
      </c>
      <c r="J32" s="269">
        <f t="shared" si="0"/>
        <v>0</v>
      </c>
    </row>
    <row r="33" spans="2:10" x14ac:dyDescent="0.25">
      <c r="B33">
        <v>7</v>
      </c>
      <c r="C33" s="23" t="s">
        <v>187</v>
      </c>
      <c r="D33" s="26">
        <v>0</v>
      </c>
      <c r="E33" s="269">
        <v>0</v>
      </c>
      <c r="F33" s="266"/>
      <c r="G33">
        <v>26</v>
      </c>
      <c r="H33" s="23" t="s">
        <v>38</v>
      </c>
      <c r="I33" s="26">
        <v>0</v>
      </c>
      <c r="J33" s="269">
        <f t="shared" si="0"/>
        <v>0</v>
      </c>
    </row>
    <row r="34" spans="2:10" x14ac:dyDescent="0.25">
      <c r="B34">
        <v>13</v>
      </c>
      <c r="C34" s="267" t="s">
        <v>270</v>
      </c>
      <c r="D34" s="26">
        <v>0</v>
      </c>
      <c r="E34" s="269">
        <v>0</v>
      </c>
      <c r="F34" s="266"/>
      <c r="G34">
        <v>27</v>
      </c>
      <c r="H34" s="23" t="s">
        <v>20</v>
      </c>
      <c r="I34" s="26">
        <v>0</v>
      </c>
      <c r="J34" s="269">
        <f t="shared" si="0"/>
        <v>0</v>
      </c>
    </row>
    <row r="35" spans="2:10" x14ac:dyDescent="0.25">
      <c r="B35">
        <v>15</v>
      </c>
      <c r="C35" s="23" t="s">
        <v>329</v>
      </c>
      <c r="D35" s="26">
        <v>0</v>
      </c>
      <c r="E35" s="269">
        <v>0</v>
      </c>
      <c r="F35" s="266"/>
      <c r="G35">
        <v>33</v>
      </c>
      <c r="H35" s="268" t="s">
        <v>271</v>
      </c>
      <c r="I35" s="26">
        <v>0</v>
      </c>
      <c r="J35" s="269">
        <f t="shared" si="0"/>
        <v>0</v>
      </c>
    </row>
    <row r="36" spans="2:10" x14ac:dyDescent="0.25">
      <c r="G36" s="26"/>
    </row>
    <row r="37" spans="2:10" ht="21" customHeight="1" x14ac:dyDescent="0.25">
      <c r="G37" s="26"/>
    </row>
    <row r="39" spans="2:10" x14ac:dyDescent="0.25">
      <c r="C39" t="s">
        <v>328</v>
      </c>
      <c r="H39" t="s">
        <v>328</v>
      </c>
    </row>
    <row r="40" spans="2:10" x14ac:dyDescent="0.25">
      <c r="C40" s="161">
        <v>6</v>
      </c>
      <c r="H40" s="161">
        <v>4</v>
      </c>
    </row>
  </sheetData>
  <sortState xmlns:xlrd2="http://schemas.microsoft.com/office/spreadsheetml/2017/richdata2" ref="G3:J35">
    <sortCondition descending="1" ref="J3:J3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0"/>
  <sheetViews>
    <sheetView topLeftCell="C1" zoomScale="80" zoomScaleNormal="80" workbookViewId="0">
      <selection activeCell="F27" sqref="F27"/>
    </sheetView>
  </sheetViews>
  <sheetFormatPr baseColWidth="10" defaultRowHeight="15" x14ac:dyDescent="0.25"/>
  <cols>
    <col min="2" max="2" width="13.7109375" customWidth="1"/>
    <col min="3" max="3" width="11" customWidth="1"/>
    <col min="4" max="4" width="13.5703125" customWidth="1"/>
    <col min="10" max="10" width="13.42578125" customWidth="1"/>
    <col min="12" max="12" width="13.28515625" customWidth="1"/>
    <col min="14" max="14" width="13.7109375" customWidth="1"/>
    <col min="15" max="15" width="13.85546875" customWidth="1"/>
    <col min="16" max="16" width="14.28515625" customWidth="1"/>
    <col min="18" max="18" width="13.7109375" customWidth="1"/>
    <col min="19" max="19" width="15" customWidth="1"/>
    <col min="20" max="20" width="13.7109375" customWidth="1"/>
  </cols>
  <sheetData>
    <row r="1" spans="1:20" x14ac:dyDescent="0.25">
      <c r="A1" s="180" t="s">
        <v>392</v>
      </c>
      <c r="B1" s="182">
        <v>2.1</v>
      </c>
      <c r="C1" s="182">
        <v>2.2000000000000002</v>
      </c>
      <c r="D1" s="183">
        <v>2.2999999999999998</v>
      </c>
      <c r="F1" s="180">
        <v>3.1</v>
      </c>
      <c r="G1" s="180">
        <v>3.2</v>
      </c>
      <c r="H1" s="180">
        <v>3.3</v>
      </c>
      <c r="I1" s="185"/>
      <c r="J1" s="180">
        <v>4.0999999999999996</v>
      </c>
      <c r="K1" s="180">
        <v>4.2</v>
      </c>
      <c r="L1" s="180">
        <v>4.3</v>
      </c>
      <c r="M1" s="185"/>
      <c r="N1" s="180">
        <v>5.0999999999999996</v>
      </c>
      <c r="O1" s="180">
        <v>5.2</v>
      </c>
      <c r="P1" s="180">
        <v>5.3</v>
      </c>
      <c r="Q1" s="185"/>
      <c r="R1" s="180">
        <v>6.1</v>
      </c>
      <c r="S1" s="180">
        <v>6.2</v>
      </c>
      <c r="T1" s="180">
        <v>6.3</v>
      </c>
    </row>
    <row r="2" spans="1:20" x14ac:dyDescent="0.25">
      <c r="A2" s="184" t="s">
        <v>447</v>
      </c>
      <c r="B2" s="26">
        <v>6</v>
      </c>
      <c r="C2" s="26">
        <v>9.5</v>
      </c>
      <c r="D2" s="136">
        <v>9</v>
      </c>
      <c r="E2" s="184" t="s">
        <v>447</v>
      </c>
      <c r="F2" s="26">
        <v>7</v>
      </c>
      <c r="G2" s="26">
        <v>7</v>
      </c>
      <c r="H2" s="26">
        <v>10</v>
      </c>
      <c r="I2" s="186" t="s">
        <v>447</v>
      </c>
      <c r="J2">
        <v>8</v>
      </c>
      <c r="K2">
        <v>7.5</v>
      </c>
      <c r="L2">
        <v>8.5</v>
      </c>
      <c r="M2" s="186" t="s">
        <v>447</v>
      </c>
      <c r="N2">
        <v>7</v>
      </c>
      <c r="O2">
        <v>8</v>
      </c>
      <c r="P2">
        <v>9</v>
      </c>
      <c r="Q2" s="186" t="s">
        <v>447</v>
      </c>
      <c r="R2">
        <v>9.5</v>
      </c>
      <c r="S2">
        <v>9.5</v>
      </c>
      <c r="T2">
        <v>10</v>
      </c>
    </row>
    <row r="3" spans="1:20" x14ac:dyDescent="0.25">
      <c r="A3" s="184" t="s">
        <v>448</v>
      </c>
      <c r="B3" s="26">
        <v>7.8</v>
      </c>
      <c r="C3" s="26">
        <v>6.8</v>
      </c>
      <c r="D3" s="136">
        <v>6</v>
      </c>
      <c r="E3" s="184" t="s">
        <v>448</v>
      </c>
      <c r="F3" s="26">
        <v>7.5</v>
      </c>
      <c r="G3" s="26">
        <v>10</v>
      </c>
      <c r="H3" s="26">
        <v>6.8</v>
      </c>
      <c r="I3" s="186" t="s">
        <v>448</v>
      </c>
      <c r="J3">
        <v>7</v>
      </c>
      <c r="K3">
        <v>7.7</v>
      </c>
      <c r="L3">
        <v>7.5</v>
      </c>
      <c r="M3" s="186" t="s">
        <v>448</v>
      </c>
      <c r="N3">
        <v>7.5</v>
      </c>
      <c r="O3">
        <v>7</v>
      </c>
      <c r="P3">
        <v>7</v>
      </c>
      <c r="Q3" s="186" t="s">
        <v>448</v>
      </c>
      <c r="R3">
        <v>7.5</v>
      </c>
      <c r="S3">
        <v>8.5</v>
      </c>
      <c r="T3">
        <v>8.5</v>
      </c>
    </row>
    <row r="4" spans="1:20" x14ac:dyDescent="0.25">
      <c r="A4" s="184" t="s">
        <v>449</v>
      </c>
      <c r="B4" s="26">
        <v>0</v>
      </c>
      <c r="C4" s="26">
        <v>0</v>
      </c>
      <c r="D4" s="136">
        <v>0</v>
      </c>
      <c r="E4" s="184" t="s">
        <v>449</v>
      </c>
      <c r="F4" s="26">
        <v>0</v>
      </c>
      <c r="G4" s="26">
        <v>0</v>
      </c>
      <c r="H4" s="26">
        <v>0</v>
      </c>
      <c r="I4" s="186" t="s">
        <v>449</v>
      </c>
      <c r="J4">
        <v>0</v>
      </c>
      <c r="K4">
        <v>0</v>
      </c>
      <c r="L4">
        <v>0</v>
      </c>
      <c r="M4" s="186" t="s">
        <v>449</v>
      </c>
      <c r="N4">
        <v>0</v>
      </c>
      <c r="O4">
        <v>0</v>
      </c>
      <c r="P4">
        <v>0</v>
      </c>
      <c r="Q4" s="186" t="s">
        <v>449</v>
      </c>
      <c r="R4">
        <v>100</v>
      </c>
      <c r="S4">
        <v>100</v>
      </c>
      <c r="T4">
        <v>200</v>
      </c>
    </row>
    <row r="5" spans="1:20" x14ac:dyDescent="0.25">
      <c r="A5" s="184" t="s">
        <v>451</v>
      </c>
      <c r="B5" s="26">
        <v>109</v>
      </c>
      <c r="C5" s="26">
        <v>114</v>
      </c>
      <c r="D5" s="136">
        <v>110</v>
      </c>
      <c r="E5" s="184" t="s">
        <v>451</v>
      </c>
      <c r="F5" s="26">
        <v>111</v>
      </c>
      <c r="G5" s="26">
        <v>112</v>
      </c>
      <c r="H5" s="26">
        <v>110</v>
      </c>
      <c r="I5" s="186" t="s">
        <v>451</v>
      </c>
      <c r="J5" s="26">
        <v>78</v>
      </c>
      <c r="K5" s="26">
        <v>78</v>
      </c>
      <c r="L5" s="26">
        <v>100</v>
      </c>
      <c r="M5" s="186" t="s">
        <v>451</v>
      </c>
      <c r="N5" s="26">
        <v>79</v>
      </c>
      <c r="O5" s="26">
        <v>75</v>
      </c>
      <c r="P5" s="26">
        <v>92</v>
      </c>
      <c r="Q5" s="186" t="s">
        <v>451</v>
      </c>
      <c r="R5" s="26">
        <v>90</v>
      </c>
      <c r="S5" s="26">
        <v>75</v>
      </c>
      <c r="T5" s="26">
        <v>92</v>
      </c>
    </row>
    <row r="6" spans="1:20" x14ac:dyDescent="0.25">
      <c r="A6" s="184" t="s">
        <v>454</v>
      </c>
      <c r="B6" t="s">
        <v>458</v>
      </c>
      <c r="C6" t="s">
        <v>458</v>
      </c>
      <c r="D6" t="s">
        <v>458</v>
      </c>
      <c r="E6" s="184" t="s">
        <v>454</v>
      </c>
      <c r="F6" t="s">
        <v>458</v>
      </c>
      <c r="G6" t="s">
        <v>458</v>
      </c>
      <c r="H6" t="s">
        <v>458</v>
      </c>
      <c r="I6" s="186" t="s">
        <v>454</v>
      </c>
      <c r="J6" t="s">
        <v>458</v>
      </c>
      <c r="K6" t="s">
        <v>458</v>
      </c>
      <c r="L6" t="s">
        <v>458</v>
      </c>
      <c r="M6" s="186" t="s">
        <v>454</v>
      </c>
      <c r="N6" t="s">
        <v>458</v>
      </c>
      <c r="O6" t="s">
        <v>458</v>
      </c>
      <c r="P6" t="s">
        <v>458</v>
      </c>
      <c r="Q6" s="186" t="s">
        <v>454</v>
      </c>
      <c r="R6" t="s">
        <v>458</v>
      </c>
      <c r="S6" t="s">
        <v>458</v>
      </c>
      <c r="T6" t="s">
        <v>458</v>
      </c>
    </row>
    <row r="7" spans="1:20" x14ac:dyDescent="0.25">
      <c r="A7" s="184" t="s">
        <v>452</v>
      </c>
      <c r="B7" t="s">
        <v>464</v>
      </c>
      <c r="C7" t="s">
        <v>464</v>
      </c>
      <c r="D7" t="s">
        <v>464</v>
      </c>
      <c r="E7" s="184" t="s">
        <v>452</v>
      </c>
      <c r="F7" t="s">
        <v>464</v>
      </c>
      <c r="G7" t="s">
        <v>464</v>
      </c>
      <c r="H7" t="s">
        <v>464</v>
      </c>
      <c r="I7" s="186" t="s">
        <v>452</v>
      </c>
      <c r="J7" t="s">
        <v>464</v>
      </c>
      <c r="K7" t="s">
        <v>464</v>
      </c>
      <c r="L7" t="s">
        <v>464</v>
      </c>
      <c r="M7" s="186" t="s">
        <v>452</v>
      </c>
      <c r="N7" t="s">
        <v>464</v>
      </c>
      <c r="O7" t="s">
        <v>464</v>
      </c>
      <c r="P7" t="s">
        <v>465</v>
      </c>
      <c r="Q7" s="186" t="s">
        <v>452</v>
      </c>
      <c r="R7" t="s">
        <v>465</v>
      </c>
      <c r="S7" t="s">
        <v>465</v>
      </c>
      <c r="T7" t="s">
        <v>465</v>
      </c>
    </row>
    <row r="8" spans="1:20" x14ac:dyDescent="0.25">
      <c r="A8" s="184" t="s">
        <v>453</v>
      </c>
      <c r="B8" t="s">
        <v>461</v>
      </c>
      <c r="C8" t="s">
        <v>461</v>
      </c>
      <c r="D8" t="s">
        <v>461</v>
      </c>
      <c r="E8" s="184" t="s">
        <v>453</v>
      </c>
      <c r="F8" t="s">
        <v>461</v>
      </c>
      <c r="G8" t="s">
        <v>461</v>
      </c>
      <c r="H8" t="s">
        <v>461</v>
      </c>
      <c r="I8" s="186" t="s">
        <v>453</v>
      </c>
      <c r="J8" t="s">
        <v>461</v>
      </c>
      <c r="K8" t="s">
        <v>461</v>
      </c>
      <c r="L8" t="s">
        <v>461</v>
      </c>
      <c r="M8" s="186" t="s">
        <v>453</v>
      </c>
      <c r="N8" t="s">
        <v>459</v>
      </c>
      <c r="O8" t="s">
        <v>461</v>
      </c>
      <c r="P8" t="s">
        <v>461</v>
      </c>
      <c r="Q8" s="186" t="s">
        <v>453</v>
      </c>
      <c r="R8" t="s">
        <v>461</v>
      </c>
      <c r="S8" t="s">
        <v>461</v>
      </c>
      <c r="T8" t="s">
        <v>461</v>
      </c>
    </row>
    <row r="9" spans="1:20" x14ac:dyDescent="0.25">
      <c r="D9" s="134"/>
    </row>
    <row r="10" spans="1:20" x14ac:dyDescent="0.25">
      <c r="D10" s="134"/>
    </row>
    <row r="11" spans="1:20" x14ac:dyDescent="0.25">
      <c r="C11" s="265" t="s">
        <v>372</v>
      </c>
      <c r="D11" s="134"/>
      <c r="G11" s="265" t="s">
        <v>455</v>
      </c>
      <c r="K11" t="s">
        <v>456</v>
      </c>
      <c r="O11" s="265" t="s">
        <v>457</v>
      </c>
      <c r="S11" s="265" t="s">
        <v>462</v>
      </c>
    </row>
    <row r="12" spans="1:20" x14ac:dyDescent="0.25">
      <c r="A12" s="180" t="s">
        <v>391</v>
      </c>
      <c r="B12" s="180">
        <v>2.1</v>
      </c>
      <c r="C12" s="180">
        <v>2.2000000000000002</v>
      </c>
      <c r="D12" s="181">
        <v>2.2999999999999998</v>
      </c>
      <c r="F12" s="180">
        <v>3.1</v>
      </c>
      <c r="G12" s="180">
        <v>3.2</v>
      </c>
      <c r="H12" s="180">
        <v>3.3</v>
      </c>
      <c r="I12" s="185"/>
      <c r="J12" s="180">
        <v>4.0999999999999996</v>
      </c>
      <c r="K12" s="180">
        <v>4.2</v>
      </c>
      <c r="L12" s="180">
        <v>4.3</v>
      </c>
      <c r="M12" s="185"/>
      <c r="N12" s="180">
        <v>5.0999999999999996</v>
      </c>
      <c r="O12" s="180">
        <v>5.2</v>
      </c>
      <c r="P12" s="180">
        <v>5.3</v>
      </c>
      <c r="Q12" s="185"/>
      <c r="R12" s="180">
        <v>6.1</v>
      </c>
      <c r="S12" s="180">
        <v>6.2</v>
      </c>
      <c r="T12" s="180">
        <v>6.3</v>
      </c>
    </row>
    <row r="13" spans="1:20" x14ac:dyDescent="0.25">
      <c r="A13" t="s">
        <v>447</v>
      </c>
      <c r="B13">
        <v>8.5</v>
      </c>
      <c r="C13">
        <v>5.5</v>
      </c>
      <c r="D13" s="134">
        <v>10</v>
      </c>
      <c r="E13" s="184" t="s">
        <v>447</v>
      </c>
      <c r="F13">
        <v>10</v>
      </c>
      <c r="G13">
        <v>10</v>
      </c>
      <c r="I13" s="186" t="s">
        <v>447</v>
      </c>
      <c r="J13">
        <v>6.8</v>
      </c>
      <c r="K13">
        <v>9</v>
      </c>
      <c r="L13">
        <v>10</v>
      </c>
      <c r="M13" s="186" t="s">
        <v>447</v>
      </c>
      <c r="N13">
        <v>8</v>
      </c>
      <c r="O13">
        <v>9</v>
      </c>
      <c r="P13">
        <v>7</v>
      </c>
      <c r="Q13" s="186" t="s">
        <v>447</v>
      </c>
      <c r="R13">
        <v>10</v>
      </c>
      <c r="S13">
        <v>10</v>
      </c>
      <c r="T13">
        <v>10</v>
      </c>
    </row>
    <row r="14" spans="1:20" x14ac:dyDescent="0.25">
      <c r="A14" t="s">
        <v>448</v>
      </c>
      <c r="B14">
        <v>7</v>
      </c>
      <c r="C14">
        <v>7.5</v>
      </c>
      <c r="D14" s="134">
        <v>7</v>
      </c>
      <c r="E14" s="184" t="s">
        <v>448</v>
      </c>
      <c r="F14">
        <v>7</v>
      </c>
      <c r="G14">
        <v>8</v>
      </c>
      <c r="H14">
        <v>7.5</v>
      </c>
      <c r="I14" s="186" t="s">
        <v>448</v>
      </c>
      <c r="J14">
        <v>7.5</v>
      </c>
      <c r="K14">
        <v>7.5</v>
      </c>
      <c r="L14">
        <v>7.4</v>
      </c>
      <c r="M14" s="186" t="s">
        <v>448</v>
      </c>
      <c r="N14">
        <v>7.5</v>
      </c>
      <c r="O14">
        <v>7.5</v>
      </c>
      <c r="P14">
        <v>7.5</v>
      </c>
      <c r="Q14" s="186" t="s">
        <v>448</v>
      </c>
      <c r="R14">
        <v>7.5</v>
      </c>
      <c r="S14">
        <v>7.5</v>
      </c>
      <c r="T14">
        <v>7.5</v>
      </c>
    </row>
    <row r="15" spans="1:20" x14ac:dyDescent="0.25">
      <c r="A15" t="s">
        <v>449</v>
      </c>
      <c r="B15">
        <v>0</v>
      </c>
      <c r="C15">
        <v>0</v>
      </c>
      <c r="D15" s="134">
        <v>0</v>
      </c>
      <c r="E15" s="184" t="s">
        <v>449</v>
      </c>
      <c r="F15">
        <v>0</v>
      </c>
      <c r="G15">
        <v>0</v>
      </c>
      <c r="H15">
        <v>0</v>
      </c>
      <c r="I15" s="186" t="s">
        <v>449</v>
      </c>
      <c r="J15">
        <v>0</v>
      </c>
      <c r="K15">
        <v>100</v>
      </c>
      <c r="L15">
        <v>0</v>
      </c>
      <c r="M15" s="186" t="s">
        <v>449</v>
      </c>
      <c r="N15">
        <v>200</v>
      </c>
      <c r="O15">
        <v>0</v>
      </c>
      <c r="P15">
        <v>0</v>
      </c>
      <c r="Q15" s="186" t="s">
        <v>449</v>
      </c>
      <c r="R15">
        <v>100</v>
      </c>
      <c r="S15">
        <v>100</v>
      </c>
      <c r="T15">
        <v>0</v>
      </c>
    </row>
    <row r="16" spans="1:20" x14ac:dyDescent="0.25">
      <c r="A16" t="s">
        <v>451</v>
      </c>
      <c r="B16">
        <v>80</v>
      </c>
      <c r="C16">
        <v>69</v>
      </c>
      <c r="D16" s="134">
        <v>53</v>
      </c>
      <c r="E16" s="184" t="s">
        <v>451</v>
      </c>
      <c r="I16" s="186" t="s">
        <v>451</v>
      </c>
      <c r="J16">
        <v>27</v>
      </c>
      <c r="K16">
        <v>33</v>
      </c>
      <c r="L16">
        <v>34</v>
      </c>
      <c r="M16" s="186" t="s">
        <v>451</v>
      </c>
      <c r="N16" s="26">
        <v>53</v>
      </c>
      <c r="O16" s="26">
        <v>57</v>
      </c>
      <c r="P16" s="26">
        <v>56</v>
      </c>
      <c r="Q16" s="186" t="s">
        <v>451</v>
      </c>
      <c r="R16" s="26">
        <v>56</v>
      </c>
      <c r="S16" s="26">
        <v>53</v>
      </c>
      <c r="T16" s="26">
        <v>62</v>
      </c>
    </row>
    <row r="17" spans="1:20" x14ac:dyDescent="0.25">
      <c r="A17" t="s">
        <v>454</v>
      </c>
      <c r="B17" t="s">
        <v>458</v>
      </c>
      <c r="C17" t="s">
        <v>458</v>
      </c>
      <c r="D17" t="s">
        <v>458</v>
      </c>
      <c r="E17" s="184" t="s">
        <v>454</v>
      </c>
      <c r="F17" t="s">
        <v>458</v>
      </c>
      <c r="G17" t="s">
        <v>458</v>
      </c>
      <c r="H17" t="s">
        <v>458</v>
      </c>
      <c r="I17" s="186" t="s">
        <v>454</v>
      </c>
      <c r="J17" t="s">
        <v>458</v>
      </c>
      <c r="K17" t="s">
        <v>458</v>
      </c>
      <c r="L17" t="s">
        <v>458</v>
      </c>
      <c r="M17" s="186" t="s">
        <v>454</v>
      </c>
      <c r="N17" t="s">
        <v>458</v>
      </c>
      <c r="O17" t="s">
        <v>458</v>
      </c>
      <c r="P17" t="s">
        <v>458</v>
      </c>
      <c r="Q17" s="186" t="s">
        <v>454</v>
      </c>
      <c r="R17" t="s">
        <v>458</v>
      </c>
      <c r="S17" t="s">
        <v>458</v>
      </c>
      <c r="T17" t="s">
        <v>458</v>
      </c>
    </row>
    <row r="18" spans="1:20" x14ac:dyDescent="0.25">
      <c r="A18" t="s">
        <v>452</v>
      </c>
      <c r="B18" t="s">
        <v>466</v>
      </c>
      <c r="C18" t="s">
        <v>464</v>
      </c>
      <c r="D18" t="s">
        <v>465</v>
      </c>
      <c r="E18" s="184" t="s">
        <v>452</v>
      </c>
      <c r="F18" t="s">
        <v>464</v>
      </c>
      <c r="G18" t="s">
        <v>464</v>
      </c>
      <c r="H18" t="s">
        <v>465</v>
      </c>
      <c r="I18" s="186" t="s">
        <v>452</v>
      </c>
      <c r="J18" t="s">
        <v>465</v>
      </c>
      <c r="K18" t="s">
        <v>464</v>
      </c>
      <c r="L18" t="s">
        <v>464</v>
      </c>
      <c r="M18" s="186" t="s">
        <v>452</v>
      </c>
      <c r="N18" t="s">
        <v>460</v>
      </c>
      <c r="O18" t="s">
        <v>460</v>
      </c>
      <c r="P18" t="s">
        <v>464</v>
      </c>
      <c r="Q18" s="186" t="s">
        <v>452</v>
      </c>
      <c r="R18" t="s">
        <v>460</v>
      </c>
      <c r="S18" t="s">
        <v>460</v>
      </c>
      <c r="T18" t="s">
        <v>460</v>
      </c>
    </row>
    <row r="19" spans="1:20" x14ac:dyDescent="0.25">
      <c r="A19" t="s">
        <v>453</v>
      </c>
      <c r="B19" t="s">
        <v>461</v>
      </c>
      <c r="C19" t="s">
        <v>461</v>
      </c>
      <c r="D19" t="s">
        <v>461</v>
      </c>
      <c r="E19" s="184" t="s">
        <v>453</v>
      </c>
      <c r="F19" t="s">
        <v>461</v>
      </c>
      <c r="G19" t="s">
        <v>461</v>
      </c>
      <c r="H19" t="s">
        <v>461</v>
      </c>
      <c r="I19" s="186" t="s">
        <v>453</v>
      </c>
      <c r="J19" t="s">
        <v>461</v>
      </c>
      <c r="K19" t="s">
        <v>461</v>
      </c>
      <c r="L19" t="s">
        <v>461</v>
      </c>
      <c r="M19" s="186" t="s">
        <v>453</v>
      </c>
      <c r="N19" t="s">
        <v>461</v>
      </c>
      <c r="O19" t="s">
        <v>461</v>
      </c>
      <c r="P19" t="s">
        <v>461</v>
      </c>
      <c r="Q19" s="186" t="s">
        <v>453</v>
      </c>
      <c r="R19" t="s">
        <v>461</v>
      </c>
      <c r="S19" t="s">
        <v>461</v>
      </c>
      <c r="T19" t="s">
        <v>461</v>
      </c>
    </row>
    <row r="23" spans="1:20" x14ac:dyDescent="0.25">
      <c r="D23" t="s">
        <v>594</v>
      </c>
    </row>
    <row r="27" spans="1:20" x14ac:dyDescent="0.25">
      <c r="A27" t="s">
        <v>371</v>
      </c>
      <c r="B27" t="s">
        <v>463</v>
      </c>
    </row>
    <row r="28" spans="1:20" x14ac:dyDescent="0.25">
      <c r="A28" t="s">
        <v>450</v>
      </c>
      <c r="B28">
        <v>117</v>
      </c>
    </row>
    <row r="29" spans="1:20" x14ac:dyDescent="0.25">
      <c r="B29">
        <v>113</v>
      </c>
    </row>
    <row r="30" spans="1:20" x14ac:dyDescent="0.25">
      <c r="B30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7"/>
  <sheetViews>
    <sheetView zoomScale="70" zoomScaleNormal="70" workbookViewId="0">
      <selection activeCell="I47" sqref="I47"/>
    </sheetView>
  </sheetViews>
  <sheetFormatPr baseColWidth="10" defaultRowHeight="15" x14ac:dyDescent="0.25"/>
  <cols>
    <col min="1" max="1" width="21.5703125" customWidth="1"/>
    <col min="2" max="2" width="21.28515625" customWidth="1"/>
    <col min="3" max="3" width="22.85546875" customWidth="1"/>
    <col min="4" max="4" width="4.85546875" style="26" customWidth="1"/>
    <col min="5" max="5" width="5" customWidth="1"/>
    <col min="6" max="6" width="14.28515625" customWidth="1"/>
    <col min="8" max="8" width="31" customWidth="1"/>
    <col min="9" max="9" width="50.5703125" customWidth="1"/>
    <col min="10" max="10" width="21" customWidth="1"/>
    <col min="11" max="11" width="15.140625" customWidth="1"/>
  </cols>
  <sheetData>
    <row r="1" spans="1:11" x14ac:dyDescent="0.25">
      <c r="A1" s="77" t="s">
        <v>3</v>
      </c>
      <c r="B1" s="77" t="s">
        <v>5</v>
      </c>
      <c r="C1" s="77" t="s">
        <v>6</v>
      </c>
      <c r="D1" s="207" t="s">
        <v>467</v>
      </c>
      <c r="E1" s="207" t="s">
        <v>452</v>
      </c>
      <c r="F1" s="108" t="s">
        <v>521</v>
      </c>
      <c r="H1" s="259" t="s">
        <v>522</v>
      </c>
      <c r="I1" s="259" t="s">
        <v>523</v>
      </c>
      <c r="J1" s="259" t="s">
        <v>524</v>
      </c>
      <c r="K1" s="259" t="s">
        <v>525</v>
      </c>
    </row>
    <row r="2" spans="1:11" x14ac:dyDescent="0.25">
      <c r="A2" s="91" t="s">
        <v>18</v>
      </c>
      <c r="B2" s="97" t="s">
        <v>20</v>
      </c>
      <c r="C2" s="94" t="s">
        <v>396</v>
      </c>
      <c r="D2" s="26" t="s">
        <v>467</v>
      </c>
      <c r="H2" t="s">
        <v>526</v>
      </c>
      <c r="I2" t="s">
        <v>527</v>
      </c>
      <c r="J2" s="52" t="s">
        <v>528</v>
      </c>
      <c r="K2" s="52" t="s">
        <v>529</v>
      </c>
    </row>
    <row r="3" spans="1:11" ht="15.75" x14ac:dyDescent="0.25">
      <c r="A3" s="80"/>
      <c r="B3" s="83" t="s">
        <v>24</v>
      </c>
      <c r="C3" s="97"/>
      <c r="E3" t="s">
        <v>452</v>
      </c>
      <c r="H3" t="s">
        <v>530</v>
      </c>
      <c r="J3" s="52" t="s">
        <v>531</v>
      </c>
      <c r="K3" s="52" t="s">
        <v>532</v>
      </c>
    </row>
    <row r="4" spans="1:11" ht="15.75" x14ac:dyDescent="0.25">
      <c r="A4" s="80"/>
      <c r="B4" s="97" t="s">
        <v>249</v>
      </c>
      <c r="C4" s="97" t="s">
        <v>250</v>
      </c>
      <c r="H4" t="s">
        <v>191</v>
      </c>
      <c r="J4" t="s">
        <v>533</v>
      </c>
      <c r="K4" s="52" t="s">
        <v>534</v>
      </c>
    </row>
    <row r="5" spans="1:11" ht="15.75" x14ac:dyDescent="0.25">
      <c r="A5" s="80"/>
      <c r="B5" s="97" t="s">
        <v>330</v>
      </c>
      <c r="C5" s="97" t="s">
        <v>30</v>
      </c>
      <c r="E5" t="s">
        <v>452</v>
      </c>
      <c r="H5" t="s">
        <v>535</v>
      </c>
      <c r="I5" t="s">
        <v>536</v>
      </c>
      <c r="J5" t="s">
        <v>537</v>
      </c>
      <c r="K5" t="s">
        <v>538</v>
      </c>
    </row>
    <row r="6" spans="1:11" ht="15.75" x14ac:dyDescent="0.25">
      <c r="A6" s="80"/>
      <c r="B6" s="94" t="s">
        <v>251</v>
      </c>
      <c r="C6" s="94" t="s">
        <v>252</v>
      </c>
      <c r="E6" t="s">
        <v>452</v>
      </c>
      <c r="H6" s="52" t="s">
        <v>539</v>
      </c>
      <c r="I6" s="52" t="s">
        <v>332</v>
      </c>
      <c r="J6" t="s">
        <v>540</v>
      </c>
      <c r="K6" t="s">
        <v>541</v>
      </c>
    </row>
    <row r="7" spans="1:11" ht="15.75" x14ac:dyDescent="0.25">
      <c r="A7" s="80"/>
      <c r="B7" s="199" t="s">
        <v>329</v>
      </c>
      <c r="C7" s="83" t="s">
        <v>35</v>
      </c>
      <c r="E7" t="s">
        <v>452</v>
      </c>
      <c r="H7" t="s">
        <v>542</v>
      </c>
      <c r="I7" t="s">
        <v>543</v>
      </c>
      <c r="J7" t="s">
        <v>544</v>
      </c>
      <c r="K7" t="s">
        <v>545</v>
      </c>
    </row>
    <row r="8" spans="1:11" ht="15.75" x14ac:dyDescent="0.25">
      <c r="A8" s="81"/>
      <c r="B8" s="100"/>
      <c r="C8" s="97" t="s">
        <v>37</v>
      </c>
      <c r="H8" s="52" t="s">
        <v>546</v>
      </c>
      <c r="I8" t="s">
        <v>543</v>
      </c>
      <c r="J8" t="s">
        <v>547</v>
      </c>
      <c r="K8" s="52" t="s">
        <v>548</v>
      </c>
    </row>
    <row r="9" spans="1:11" ht="15.75" x14ac:dyDescent="0.25">
      <c r="A9" s="80"/>
      <c r="B9" s="84" t="s">
        <v>38</v>
      </c>
      <c r="C9" s="84" t="s">
        <v>41</v>
      </c>
      <c r="H9" t="s">
        <v>220</v>
      </c>
      <c r="I9" t="s">
        <v>549</v>
      </c>
      <c r="J9" t="s">
        <v>550</v>
      </c>
      <c r="K9" t="s">
        <v>551</v>
      </c>
    </row>
    <row r="10" spans="1:11" ht="15.75" x14ac:dyDescent="0.25">
      <c r="A10" s="80"/>
      <c r="B10" s="86"/>
      <c r="C10" s="97" t="s">
        <v>39</v>
      </c>
      <c r="H10" t="s">
        <v>552</v>
      </c>
      <c r="I10" t="s">
        <v>553</v>
      </c>
      <c r="J10" t="s">
        <v>554</v>
      </c>
      <c r="K10" t="s">
        <v>555</v>
      </c>
    </row>
    <row r="11" spans="1:11" ht="15.75" x14ac:dyDescent="0.25">
      <c r="A11" s="80"/>
      <c r="B11" s="86"/>
      <c r="C11" s="84" t="s">
        <v>42</v>
      </c>
      <c r="H11" t="s">
        <v>291</v>
      </c>
      <c r="I11" t="s">
        <v>527</v>
      </c>
      <c r="J11" t="s">
        <v>556</v>
      </c>
      <c r="K11" t="s">
        <v>555</v>
      </c>
    </row>
    <row r="12" spans="1:11" ht="15.75" x14ac:dyDescent="0.25">
      <c r="A12" s="27"/>
      <c r="B12" s="83" t="s">
        <v>395</v>
      </c>
      <c r="C12" s="199" t="s">
        <v>336</v>
      </c>
      <c r="E12" t="s">
        <v>452</v>
      </c>
      <c r="H12" s="52" t="s">
        <v>556</v>
      </c>
      <c r="I12" s="52" t="s">
        <v>557</v>
      </c>
      <c r="K12" s="260"/>
    </row>
    <row r="13" spans="1:11" ht="15.75" x14ac:dyDescent="0.25">
      <c r="A13" s="27"/>
      <c r="B13" s="97" t="s">
        <v>56</v>
      </c>
      <c r="C13" s="97" t="s">
        <v>57</v>
      </c>
      <c r="E13" t="s">
        <v>452</v>
      </c>
      <c r="H13" t="s">
        <v>200</v>
      </c>
      <c r="I13" t="s">
        <v>527</v>
      </c>
      <c r="K13" s="260"/>
    </row>
    <row r="14" spans="1:11" ht="15.75" x14ac:dyDescent="0.25">
      <c r="A14" s="80"/>
      <c r="B14" s="83" t="s">
        <v>61</v>
      </c>
      <c r="C14" s="83" t="s">
        <v>62</v>
      </c>
      <c r="H14" t="s">
        <v>192</v>
      </c>
      <c r="I14" t="s">
        <v>558</v>
      </c>
      <c r="K14" s="260"/>
    </row>
    <row r="15" spans="1:11" ht="15.75" x14ac:dyDescent="0.25">
      <c r="A15" s="80"/>
      <c r="B15" s="86"/>
      <c r="C15" s="97" t="s">
        <v>64</v>
      </c>
      <c r="I15" t="s">
        <v>559</v>
      </c>
      <c r="K15" s="260"/>
    </row>
    <row r="16" spans="1:11" ht="15.75" x14ac:dyDescent="0.25">
      <c r="A16" s="80"/>
      <c r="B16" s="86"/>
      <c r="C16" s="84" t="s">
        <v>66</v>
      </c>
      <c r="H16" t="s">
        <v>191</v>
      </c>
      <c r="I16" t="s">
        <v>560</v>
      </c>
      <c r="K16" s="260"/>
    </row>
    <row r="17" spans="1:11" ht="15.75" x14ac:dyDescent="0.25">
      <c r="A17" s="81"/>
      <c r="B17" s="85"/>
      <c r="C17" s="83" t="s">
        <v>73</v>
      </c>
      <c r="H17" t="s">
        <v>561</v>
      </c>
      <c r="I17" t="s">
        <v>562</v>
      </c>
      <c r="K17" s="260"/>
    </row>
    <row r="18" spans="1:11" ht="15.75" x14ac:dyDescent="0.25">
      <c r="A18" s="80"/>
      <c r="B18" s="86"/>
      <c r="C18" s="97" t="s">
        <v>74</v>
      </c>
      <c r="H18" t="s">
        <v>563</v>
      </c>
      <c r="I18" t="s">
        <v>562</v>
      </c>
      <c r="K18" s="260"/>
    </row>
    <row r="19" spans="1:11" ht="15.75" x14ac:dyDescent="0.25">
      <c r="A19" s="80"/>
      <c r="B19" s="86"/>
      <c r="C19" s="97" t="s">
        <v>76</v>
      </c>
      <c r="H19" t="s">
        <v>564</v>
      </c>
      <c r="I19" t="s">
        <v>565</v>
      </c>
      <c r="K19" s="260"/>
    </row>
    <row r="20" spans="1:11" ht="15.75" x14ac:dyDescent="0.25">
      <c r="A20" s="80"/>
      <c r="B20" s="86"/>
      <c r="C20" s="84" t="s">
        <v>312</v>
      </c>
      <c r="H20" t="s">
        <v>566</v>
      </c>
      <c r="I20" t="s">
        <v>567</v>
      </c>
      <c r="K20" s="260"/>
    </row>
    <row r="21" spans="1:11" ht="15.75" x14ac:dyDescent="0.25">
      <c r="A21" s="80"/>
      <c r="B21" s="83" t="s">
        <v>305</v>
      </c>
      <c r="C21" s="83" t="s">
        <v>303</v>
      </c>
      <c r="E21" t="s">
        <v>452</v>
      </c>
      <c r="H21" t="s">
        <v>568</v>
      </c>
      <c r="I21" t="s">
        <v>567</v>
      </c>
      <c r="K21" s="260"/>
    </row>
    <row r="22" spans="1:11" ht="15.75" x14ac:dyDescent="0.25">
      <c r="A22" s="80"/>
      <c r="B22" s="97" t="s">
        <v>81</v>
      </c>
      <c r="C22" s="97"/>
      <c r="H22" s="261" t="s">
        <v>569</v>
      </c>
      <c r="I22" s="52" t="s">
        <v>570</v>
      </c>
      <c r="K22" s="260"/>
    </row>
    <row r="23" spans="1:11" ht="15.75" x14ac:dyDescent="0.25">
      <c r="A23" s="80"/>
      <c r="B23" s="94" t="s">
        <v>105</v>
      </c>
      <c r="C23" s="94" t="s">
        <v>106</v>
      </c>
      <c r="H23" s="261" t="s">
        <v>571</v>
      </c>
      <c r="I23" s="52" t="s">
        <v>572</v>
      </c>
      <c r="K23" s="260"/>
    </row>
    <row r="24" spans="1:11" ht="15.75" x14ac:dyDescent="0.25">
      <c r="A24" s="80"/>
      <c r="B24" s="199" t="s">
        <v>113</v>
      </c>
      <c r="C24" s="83" t="s">
        <v>114</v>
      </c>
      <c r="E24" t="s">
        <v>452</v>
      </c>
      <c r="H24" t="s">
        <v>300</v>
      </c>
      <c r="I24" s="52" t="s">
        <v>573</v>
      </c>
      <c r="K24" s="260"/>
    </row>
    <row r="25" spans="1:11" ht="15.75" x14ac:dyDescent="0.25">
      <c r="A25" s="80"/>
      <c r="B25" s="86"/>
      <c r="C25" s="97" t="s">
        <v>120</v>
      </c>
      <c r="H25" t="s">
        <v>574</v>
      </c>
      <c r="I25" t="s">
        <v>575</v>
      </c>
      <c r="K25" s="260"/>
    </row>
    <row r="26" spans="1:11" ht="15.75" x14ac:dyDescent="0.25">
      <c r="A26" s="80"/>
      <c r="B26" s="86"/>
      <c r="C26" s="97" t="s">
        <v>122</v>
      </c>
      <c r="H26" t="s">
        <v>576</v>
      </c>
      <c r="I26" t="s">
        <v>577</v>
      </c>
      <c r="K26" s="260"/>
    </row>
    <row r="27" spans="1:11" ht="15.75" x14ac:dyDescent="0.25">
      <c r="A27" s="80"/>
      <c r="B27" s="86"/>
      <c r="C27" s="84" t="s">
        <v>310</v>
      </c>
      <c r="H27" t="s">
        <v>578</v>
      </c>
      <c r="I27" t="s">
        <v>579</v>
      </c>
      <c r="K27" s="260"/>
    </row>
    <row r="28" spans="1:11" ht="15.75" x14ac:dyDescent="0.25">
      <c r="A28" s="80"/>
      <c r="B28" s="199" t="s">
        <v>127</v>
      </c>
      <c r="C28" s="83" t="s">
        <v>130</v>
      </c>
      <c r="E28" t="s">
        <v>452</v>
      </c>
      <c r="H28" t="s">
        <v>580</v>
      </c>
      <c r="I28" t="s">
        <v>581</v>
      </c>
      <c r="K28" s="260"/>
    </row>
    <row r="29" spans="1:11" ht="15.75" x14ac:dyDescent="0.25">
      <c r="A29" s="80"/>
      <c r="B29" s="86"/>
      <c r="C29" s="97" t="s">
        <v>355</v>
      </c>
      <c r="H29" t="s">
        <v>582</v>
      </c>
      <c r="I29" t="s">
        <v>583</v>
      </c>
      <c r="K29" s="260"/>
    </row>
    <row r="30" spans="1:11" ht="15.75" x14ac:dyDescent="0.25">
      <c r="A30" s="80"/>
      <c r="B30" s="86"/>
      <c r="C30" s="84" t="s">
        <v>356</v>
      </c>
      <c r="H30" t="s">
        <v>163</v>
      </c>
      <c r="I30" t="s">
        <v>583</v>
      </c>
      <c r="K30" s="260"/>
    </row>
    <row r="31" spans="1:11" ht="15.75" x14ac:dyDescent="0.25">
      <c r="A31" s="80"/>
      <c r="B31" s="86"/>
      <c r="C31" s="97" t="s">
        <v>313</v>
      </c>
      <c r="K31" s="260"/>
    </row>
    <row r="32" spans="1:11" ht="15.75" x14ac:dyDescent="0.25">
      <c r="A32" s="80"/>
      <c r="B32" s="83" t="s">
        <v>136</v>
      </c>
      <c r="C32" s="97" t="s">
        <v>315</v>
      </c>
      <c r="H32" s="52"/>
      <c r="I32" s="52" t="s">
        <v>584</v>
      </c>
      <c r="K32" s="260"/>
    </row>
    <row r="33" spans="1:15" ht="15.75" x14ac:dyDescent="0.25">
      <c r="A33" s="80"/>
      <c r="B33" s="86"/>
      <c r="C33" s="84" t="s">
        <v>314</v>
      </c>
      <c r="H33" s="52"/>
      <c r="I33" s="52" t="s">
        <v>585</v>
      </c>
      <c r="K33" s="260"/>
    </row>
    <row r="34" spans="1:15" ht="15.75" x14ac:dyDescent="0.25">
      <c r="A34" s="80"/>
      <c r="B34" s="199" t="s">
        <v>139</v>
      </c>
      <c r="C34" s="97" t="s">
        <v>338</v>
      </c>
      <c r="E34" t="s">
        <v>452</v>
      </c>
      <c r="H34" s="52"/>
      <c r="I34" s="52" t="s">
        <v>586</v>
      </c>
      <c r="K34" s="260"/>
    </row>
    <row r="35" spans="1:15" ht="15.75" x14ac:dyDescent="0.25">
      <c r="A35" s="80"/>
      <c r="B35" s="86"/>
      <c r="C35" s="97" t="s">
        <v>337</v>
      </c>
      <c r="H35" s="52" t="s">
        <v>587</v>
      </c>
      <c r="I35" s="52" t="s">
        <v>588</v>
      </c>
      <c r="K35" s="260"/>
    </row>
    <row r="36" spans="1:15" ht="15.75" x14ac:dyDescent="0.25">
      <c r="A36" s="80"/>
      <c r="B36" s="86"/>
      <c r="C36" s="97" t="s">
        <v>140</v>
      </c>
      <c r="H36" s="52" t="s">
        <v>589</v>
      </c>
      <c r="I36" s="52" t="s">
        <v>590</v>
      </c>
      <c r="K36" s="260"/>
    </row>
    <row r="37" spans="1:15" ht="15.75" x14ac:dyDescent="0.25">
      <c r="A37" s="80"/>
      <c r="B37" s="86"/>
      <c r="C37" s="84" t="s">
        <v>147</v>
      </c>
      <c r="H37" s="52" t="s">
        <v>591</v>
      </c>
      <c r="I37" s="52" t="s">
        <v>178</v>
      </c>
      <c r="J37" s="260"/>
      <c r="K37" s="260"/>
    </row>
    <row r="38" spans="1:15" ht="15.75" x14ac:dyDescent="0.25">
      <c r="A38" s="27"/>
      <c r="B38" s="86"/>
      <c r="C38" s="3" t="s">
        <v>150</v>
      </c>
      <c r="H38" s="52" t="s">
        <v>592</v>
      </c>
      <c r="I38" s="52" t="s">
        <v>593</v>
      </c>
      <c r="J38" s="260"/>
      <c r="K38" s="260"/>
    </row>
    <row r="39" spans="1:15" ht="15.75" x14ac:dyDescent="0.25">
      <c r="A39" s="27"/>
      <c r="B39" s="88"/>
      <c r="C39" s="97" t="s">
        <v>412</v>
      </c>
    </row>
    <row r="40" spans="1:15" ht="15.75" x14ac:dyDescent="0.25">
      <c r="A40" s="80"/>
      <c r="B40" s="200" t="s">
        <v>154</v>
      </c>
      <c r="C40" s="84" t="s">
        <v>155</v>
      </c>
      <c r="E40" t="s">
        <v>452</v>
      </c>
    </row>
    <row r="41" spans="1:15" ht="15.75" x14ac:dyDescent="0.25">
      <c r="A41" s="80"/>
      <c r="B41" s="86"/>
      <c r="C41" s="97" t="s">
        <v>159</v>
      </c>
      <c r="E41" t="s">
        <v>452</v>
      </c>
    </row>
    <row r="42" spans="1:15" ht="15.75" x14ac:dyDescent="0.25">
      <c r="A42" s="102"/>
      <c r="B42" s="97" t="s">
        <v>270</v>
      </c>
      <c r="C42" s="97"/>
      <c r="E42" t="s">
        <v>452</v>
      </c>
    </row>
    <row r="43" spans="1:15" x14ac:dyDescent="0.25">
      <c r="A43" s="82" t="s">
        <v>333</v>
      </c>
      <c r="B43" s="203" t="s">
        <v>271</v>
      </c>
      <c r="C43" s="94"/>
      <c r="D43" s="26" t="s">
        <v>467</v>
      </c>
      <c r="E43" t="s">
        <v>452</v>
      </c>
    </row>
    <row r="44" spans="1:15" ht="15.75" x14ac:dyDescent="0.25">
      <c r="A44" s="80"/>
      <c r="B44" s="201" t="s">
        <v>164</v>
      </c>
      <c r="C44" s="97"/>
      <c r="D44" s="26" t="s">
        <v>467</v>
      </c>
      <c r="E44" t="s">
        <v>452</v>
      </c>
    </row>
    <row r="45" spans="1:15" ht="15.75" x14ac:dyDescent="0.25">
      <c r="A45" s="80"/>
      <c r="B45" s="94" t="s">
        <v>168</v>
      </c>
      <c r="C45" s="97"/>
      <c r="E45" t="s">
        <v>452</v>
      </c>
    </row>
    <row r="46" spans="1:15" ht="15.75" x14ac:dyDescent="0.25">
      <c r="A46" s="102"/>
      <c r="B46" s="94" t="s">
        <v>171</v>
      </c>
      <c r="C46" s="97"/>
      <c r="E46" t="s">
        <v>452</v>
      </c>
    </row>
    <row r="48" spans="1:15" ht="15.75" x14ac:dyDescent="0.25">
      <c r="L48" s="27"/>
      <c r="M48" s="27"/>
      <c r="N48" s="27"/>
      <c r="O48" s="27"/>
    </row>
    <row r="50" spans="1:5" x14ac:dyDescent="0.25">
      <c r="A50" s="103" t="s">
        <v>3</v>
      </c>
      <c r="B50" s="103" t="s">
        <v>5</v>
      </c>
      <c r="C50" s="103" t="s">
        <v>6</v>
      </c>
    </row>
    <row r="51" spans="1:5" x14ac:dyDescent="0.25">
      <c r="A51" s="98" t="s">
        <v>175</v>
      </c>
      <c r="B51" s="97" t="s">
        <v>177</v>
      </c>
      <c r="C51" s="201" t="s">
        <v>178</v>
      </c>
      <c r="D51" s="26" t="s">
        <v>467</v>
      </c>
    </row>
    <row r="52" spans="1:5" x14ac:dyDescent="0.25">
      <c r="A52" s="78" t="s">
        <v>185</v>
      </c>
      <c r="B52" s="97" t="s">
        <v>187</v>
      </c>
      <c r="C52" s="97" t="s">
        <v>188</v>
      </c>
    </row>
    <row r="53" spans="1:5" ht="15.75" x14ac:dyDescent="0.25">
      <c r="A53" s="27"/>
      <c r="B53" s="201" t="s">
        <v>191</v>
      </c>
      <c r="C53" s="201" t="s">
        <v>192</v>
      </c>
      <c r="D53" s="26" t="s">
        <v>467</v>
      </c>
    </row>
    <row r="54" spans="1:5" ht="15.75" x14ac:dyDescent="0.25">
      <c r="A54" s="27"/>
      <c r="B54" s="200" t="s">
        <v>200</v>
      </c>
      <c r="C54" s="200" t="s">
        <v>207</v>
      </c>
      <c r="D54" s="26" t="s">
        <v>467</v>
      </c>
    </row>
    <row r="55" spans="1:5" ht="15.75" x14ac:dyDescent="0.25">
      <c r="A55" s="27"/>
      <c r="B55" s="86"/>
      <c r="C55" s="97" t="s">
        <v>203</v>
      </c>
    </row>
    <row r="56" spans="1:5" ht="15.75" x14ac:dyDescent="0.25">
      <c r="A56" s="104"/>
      <c r="B56" s="86"/>
      <c r="C56" s="84" t="s">
        <v>204</v>
      </c>
    </row>
    <row r="57" spans="1:5" ht="15.75" x14ac:dyDescent="0.25">
      <c r="A57" s="32"/>
      <c r="B57" s="85"/>
      <c r="C57" s="97" t="s">
        <v>205</v>
      </c>
    </row>
    <row r="58" spans="1:5" ht="15.75" x14ac:dyDescent="0.25">
      <c r="A58" s="27"/>
      <c r="B58" s="86"/>
      <c r="C58" s="84" t="s">
        <v>201</v>
      </c>
    </row>
    <row r="59" spans="1:5" ht="15.75" x14ac:dyDescent="0.25">
      <c r="A59" s="27"/>
      <c r="B59" s="201" t="s">
        <v>213</v>
      </c>
      <c r="C59" s="97" t="s">
        <v>214</v>
      </c>
      <c r="D59" s="26" t="s">
        <v>467</v>
      </c>
    </row>
    <row r="60" spans="1:5" ht="15.75" x14ac:dyDescent="0.25">
      <c r="A60" s="27"/>
      <c r="B60" s="200" t="s">
        <v>220</v>
      </c>
      <c r="C60" s="200" t="s">
        <v>221</v>
      </c>
      <c r="D60" s="26" t="s">
        <v>467</v>
      </c>
      <c r="E60" t="s">
        <v>452</v>
      </c>
    </row>
    <row r="61" spans="1:5" ht="15.75" x14ac:dyDescent="0.25">
      <c r="A61" s="27"/>
      <c r="B61" s="86"/>
      <c r="C61" s="97" t="s">
        <v>224</v>
      </c>
      <c r="D61" s="26" t="s">
        <v>467</v>
      </c>
    </row>
    <row r="62" spans="1:5" ht="15.75" x14ac:dyDescent="0.25">
      <c r="A62" s="27"/>
      <c r="B62" s="199" t="s">
        <v>226</v>
      </c>
      <c r="C62" s="83" t="s">
        <v>227</v>
      </c>
      <c r="D62" s="26" t="s">
        <v>467</v>
      </c>
    </row>
    <row r="63" spans="1:5" ht="15.75" x14ac:dyDescent="0.25">
      <c r="A63" s="27"/>
      <c r="B63" s="88"/>
      <c r="C63" s="97" t="s">
        <v>229</v>
      </c>
      <c r="D63" s="26" t="s">
        <v>467</v>
      </c>
    </row>
    <row r="64" spans="1:5" ht="15.75" x14ac:dyDescent="0.25">
      <c r="A64" s="27"/>
      <c r="B64" s="97" t="s">
        <v>240</v>
      </c>
      <c r="C64" s="83" t="s">
        <v>241</v>
      </c>
    </row>
    <row r="65" spans="1:4" ht="15.75" x14ac:dyDescent="0.25">
      <c r="A65" s="27"/>
      <c r="B65" s="202" t="s">
        <v>291</v>
      </c>
      <c r="C65" s="97" t="s">
        <v>292</v>
      </c>
      <c r="D65" s="26" t="s">
        <v>467</v>
      </c>
    </row>
    <row r="66" spans="1:4" ht="15.75" x14ac:dyDescent="0.25">
      <c r="A66" s="178"/>
      <c r="B66" s="94" t="s">
        <v>299</v>
      </c>
      <c r="C66" s="201" t="s">
        <v>300</v>
      </c>
      <c r="D66" s="26" t="s">
        <v>467</v>
      </c>
    </row>
    <row r="67" spans="1:4" ht="15.75" x14ac:dyDescent="0.25">
      <c r="A67" s="3" t="s">
        <v>246</v>
      </c>
      <c r="B67" s="121"/>
      <c r="C67" s="9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Todo</vt:lpstr>
      <vt:lpstr>Trampas-Parque</vt:lpstr>
      <vt:lpstr>Acariformes-Parasitiformes</vt:lpstr>
      <vt:lpstr>Familia-trampa</vt:lpstr>
      <vt:lpstr>Genero-Trampa</vt:lpstr>
      <vt:lpstr>Hoja1</vt:lpstr>
      <vt:lpstr>Familias Mes-Parque</vt:lpstr>
      <vt:lpstr>Generos Mes-Parque</vt:lpstr>
      <vt:lpstr>Hoja2</vt:lpstr>
      <vt:lpstr>Datos ambientales</vt:lpstr>
      <vt:lpstr>Depredador-Presa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Dr. MAGALLON</cp:lastModifiedBy>
  <dcterms:created xsi:type="dcterms:W3CDTF">2022-04-10T21:42:43Z</dcterms:created>
  <dcterms:modified xsi:type="dcterms:W3CDTF">2023-02-01T18:18:27Z</dcterms:modified>
</cp:coreProperties>
</file>